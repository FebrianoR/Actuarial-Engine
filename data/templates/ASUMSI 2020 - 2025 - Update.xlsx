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2025\DATA DIKIRIM KE SES\ASUMSI DAN KERTAS KERJANYA\"/>
    </mc:Choice>
  </mc:AlternateContent>
  <xr:revisionPtr revIDLastSave="0" documentId="13_ncr:1_{DCA65D46-EDE3-4804-BE22-8DFAB1FF1A52}" xr6:coauthVersionLast="47" xr6:coauthVersionMax="47" xr10:uidLastSave="{00000000-0000-0000-0000-000000000000}"/>
  <bookViews>
    <workbookView xWindow="-108" yWindow="-108" windowWidth="23256" windowHeight="12456" firstSheet="1" activeTab="2" xr2:uid="{B5FAF487-5012-43CC-8E2B-138B039A3082}"/>
  </bookViews>
  <sheets>
    <sheet name="Loss Rasio Per Produk" sheetId="1" r:id="rId1"/>
    <sheet name="Loss Rasio Per COB" sheetId="8" r:id="rId2"/>
    <sheet name="PAD" sheetId="2" r:id="rId3"/>
    <sheet name="ICHE" sheetId="3" r:id="rId4"/>
    <sheet name="Bunga Diskonto" sheetId="4" r:id="rId5"/>
    <sheet name="Inflasi" sheetId="5" r:id="rId6"/>
    <sheet name="Lapse Rasio" sheetId="6" r:id="rId7"/>
    <sheet name="Expense Rasio" sheetId="7" r:id="rId8"/>
    <sheet name="SUMMARY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" i="9" l="1"/>
  <c r="D35" i="9"/>
  <c r="D34" i="9"/>
  <c r="D31" i="9"/>
  <c r="D25" i="9"/>
  <c r="D20" i="9"/>
  <c r="D19" i="9"/>
  <c r="D9" i="9"/>
  <c r="D8" i="9"/>
  <c r="D7" i="9"/>
  <c r="C30" i="9"/>
  <c r="D30" i="9" s="1"/>
  <c r="C31" i="9"/>
  <c r="C32" i="9"/>
  <c r="D32" i="9" s="1"/>
  <c r="C33" i="9"/>
  <c r="D33" i="9" s="1"/>
  <c r="C34" i="9"/>
  <c r="C35" i="9"/>
  <c r="F36" i="9"/>
  <c r="C37" i="9"/>
  <c r="C18" i="9"/>
  <c r="D18" i="9" s="1"/>
  <c r="C19" i="9"/>
  <c r="C20" i="9"/>
  <c r="C21" i="9"/>
  <c r="C22" i="9"/>
  <c r="C23" i="9"/>
  <c r="C25" i="9"/>
  <c r="C6" i="9"/>
  <c r="D6" i="9" s="1"/>
  <c r="C7" i="9"/>
  <c r="C8" i="9"/>
  <c r="C9" i="9"/>
  <c r="C10" i="9"/>
  <c r="D10" i="9" s="1"/>
  <c r="C11" i="9"/>
  <c r="D11" i="9" s="1"/>
  <c r="C13" i="9"/>
  <c r="D13" i="9" s="1"/>
  <c r="C29" i="9"/>
  <c r="D29" i="9" s="1"/>
  <c r="C17" i="9"/>
  <c r="D17" i="9" s="1"/>
  <c r="C5" i="9"/>
  <c r="D5" i="9" s="1"/>
  <c r="F24" i="9"/>
  <c r="D21" i="9" l="1"/>
  <c r="D22" i="9"/>
  <c r="D23" i="9"/>
  <c r="F12" i="9"/>
  <c r="D9" i="7"/>
  <c r="D4" i="7"/>
  <c r="D18" i="7" s="1"/>
  <c r="G3" i="5"/>
  <c r="G4" i="5"/>
  <c r="G5" i="5"/>
  <c r="G6" i="5"/>
  <c r="AU3" i="4"/>
  <c r="D15" i="7" l="1"/>
  <c r="D19" i="7"/>
  <c r="D16" i="7"/>
  <c r="D17" i="7"/>
  <c r="E13" i="9" l="1"/>
  <c r="F13" i="9" s="1"/>
  <c r="E6" i="9"/>
  <c r="F6" i="9" s="1"/>
  <c r="E7" i="9"/>
  <c r="F7" i="9" s="1"/>
  <c r="E8" i="9"/>
  <c r="F8" i="9" s="1"/>
  <c r="E9" i="9"/>
  <c r="F9" i="9" s="1"/>
  <c r="E10" i="9"/>
  <c r="F10" i="9" s="1"/>
  <c r="E5" i="9"/>
  <c r="F5" i="9" s="1"/>
  <c r="E11" i="9"/>
  <c r="F11" i="9" s="1"/>
  <c r="CS33" i="4"/>
  <c r="CR33" i="4"/>
  <c r="CC33" i="4"/>
  <c r="CB33" i="4"/>
  <c r="BM33" i="4"/>
  <c r="BL33" i="4"/>
  <c r="CS32" i="4"/>
  <c r="CR32" i="4"/>
  <c r="CC32" i="4"/>
  <c r="CB32" i="4"/>
  <c r="BM32" i="4"/>
  <c r="BL32" i="4"/>
  <c r="CS31" i="4"/>
  <c r="CR31" i="4"/>
  <c r="CC31" i="4"/>
  <c r="CB31" i="4"/>
  <c r="BM31" i="4"/>
  <c r="BL31" i="4"/>
  <c r="CS30" i="4"/>
  <c r="CR30" i="4"/>
  <c r="CC30" i="4"/>
  <c r="CB30" i="4"/>
  <c r="BM30" i="4"/>
  <c r="BL30" i="4"/>
  <c r="CS29" i="4"/>
  <c r="CR29" i="4"/>
  <c r="CC29" i="4"/>
  <c r="CB29" i="4"/>
  <c r="BM29" i="4"/>
  <c r="BL29" i="4"/>
  <c r="CS28" i="4"/>
  <c r="CR28" i="4"/>
  <c r="CC28" i="4"/>
  <c r="CB28" i="4"/>
  <c r="BM28" i="4"/>
  <c r="BL28" i="4"/>
  <c r="CS27" i="4"/>
  <c r="CR27" i="4"/>
  <c r="CC27" i="4"/>
  <c r="CB27" i="4"/>
  <c r="BM27" i="4"/>
  <c r="BL27" i="4"/>
  <c r="CS26" i="4"/>
  <c r="CR26" i="4"/>
  <c r="CC26" i="4"/>
  <c r="CB26" i="4"/>
  <c r="BM26" i="4"/>
  <c r="BL26" i="4"/>
  <c r="CS25" i="4"/>
  <c r="CR25" i="4"/>
  <c r="CC25" i="4"/>
  <c r="CB25" i="4"/>
  <c r="BM25" i="4"/>
  <c r="BL25" i="4"/>
  <c r="CS24" i="4"/>
  <c r="CR24" i="4"/>
  <c r="CC24" i="4"/>
  <c r="CB24" i="4"/>
  <c r="BM24" i="4"/>
  <c r="BL24" i="4"/>
  <c r="CS23" i="4"/>
  <c r="CR23" i="4"/>
  <c r="CC23" i="4"/>
  <c r="CB23" i="4"/>
  <c r="BM23" i="4"/>
  <c r="BL23" i="4"/>
  <c r="CS22" i="4"/>
  <c r="CR22" i="4"/>
  <c r="CC22" i="4"/>
  <c r="CB22" i="4"/>
  <c r="BM22" i="4"/>
  <c r="BL22" i="4"/>
  <c r="CS21" i="4"/>
  <c r="CR21" i="4"/>
  <c r="CC21" i="4"/>
  <c r="CB21" i="4"/>
  <c r="BM21" i="4"/>
  <c r="BL21" i="4"/>
  <c r="CS20" i="4"/>
  <c r="CR20" i="4"/>
  <c r="CC20" i="4"/>
  <c r="CB20" i="4"/>
  <c r="BM20" i="4"/>
  <c r="BL20" i="4"/>
  <c r="CS19" i="4"/>
  <c r="CR19" i="4"/>
  <c r="CC19" i="4"/>
  <c r="CB19" i="4"/>
  <c r="BM19" i="4"/>
  <c r="BL19" i="4"/>
  <c r="CS18" i="4"/>
  <c r="CR18" i="4"/>
  <c r="CC18" i="4"/>
  <c r="CB18" i="4"/>
  <c r="BM18" i="4"/>
  <c r="BL18" i="4"/>
  <c r="CS17" i="4"/>
  <c r="CR17" i="4"/>
  <c r="CC17" i="4"/>
  <c r="CB17" i="4"/>
  <c r="BM17" i="4"/>
  <c r="BL17" i="4"/>
  <c r="CS16" i="4"/>
  <c r="CR16" i="4"/>
  <c r="CC16" i="4"/>
  <c r="CB16" i="4"/>
  <c r="BM16" i="4"/>
  <c r="BL16" i="4"/>
  <c r="CS15" i="4"/>
  <c r="CR15" i="4"/>
  <c r="CC15" i="4"/>
  <c r="CB15" i="4"/>
  <c r="BM15" i="4"/>
  <c r="BL15" i="4"/>
  <c r="CS14" i="4"/>
  <c r="CR14" i="4"/>
  <c r="CC14" i="4"/>
  <c r="CB14" i="4"/>
  <c r="BM14" i="4"/>
  <c r="BL14" i="4"/>
  <c r="CS13" i="4"/>
  <c r="CR13" i="4"/>
  <c r="CC13" i="4"/>
  <c r="CB13" i="4"/>
  <c r="BM13" i="4"/>
  <c r="BL13" i="4"/>
  <c r="CS12" i="4"/>
  <c r="CR12" i="4"/>
  <c r="CC12" i="4"/>
  <c r="CB12" i="4"/>
  <c r="BM12" i="4"/>
  <c r="BL12" i="4"/>
  <c r="CS11" i="4"/>
  <c r="CR11" i="4"/>
  <c r="CC11" i="4"/>
  <c r="CB11" i="4"/>
  <c r="BM11" i="4"/>
  <c r="BL11" i="4"/>
  <c r="CS10" i="4"/>
  <c r="CR10" i="4"/>
  <c r="CC10" i="4"/>
  <c r="CB10" i="4"/>
  <c r="BM10" i="4"/>
  <c r="BL10" i="4"/>
  <c r="CS9" i="4"/>
  <c r="CR9" i="4"/>
  <c r="CC9" i="4"/>
  <c r="CB9" i="4"/>
  <c r="BM9" i="4"/>
  <c r="BL9" i="4"/>
  <c r="CS8" i="4"/>
  <c r="CR8" i="4"/>
  <c r="CC8" i="4"/>
  <c r="CB8" i="4"/>
  <c r="BM8" i="4"/>
  <c r="BL8" i="4"/>
  <c r="CS7" i="4"/>
  <c r="CR7" i="4"/>
  <c r="CC7" i="4"/>
  <c r="CB7" i="4"/>
  <c r="BM7" i="4"/>
  <c r="BL7" i="4"/>
  <c r="CS6" i="4"/>
  <c r="CR6" i="4"/>
  <c r="CC6" i="4"/>
  <c r="CB6" i="4"/>
  <c r="BM6" i="4"/>
  <c r="BL6" i="4"/>
  <c r="CS5" i="4"/>
  <c r="CR5" i="4"/>
  <c r="CC5" i="4"/>
  <c r="CB5" i="4"/>
  <c r="BM5" i="4"/>
  <c r="BL5" i="4"/>
  <c r="CS4" i="4"/>
  <c r="CR4" i="4"/>
  <c r="CC4" i="4"/>
  <c r="CB4" i="4"/>
  <c r="BM4" i="4"/>
  <c r="BL4" i="4"/>
  <c r="CS3" i="4"/>
  <c r="CR3" i="4"/>
  <c r="CC3" i="4"/>
  <c r="CB3" i="4"/>
  <c r="BM3" i="4"/>
  <c r="BL3" i="4"/>
  <c r="J30" i="9"/>
  <c r="J31" i="9"/>
  <c r="J32" i="9"/>
  <c r="J33" i="9"/>
  <c r="J34" i="9"/>
  <c r="J35" i="9"/>
  <c r="J37" i="9"/>
  <c r="J29" i="9"/>
  <c r="J17" i="9"/>
  <c r="J18" i="9"/>
  <c r="J19" i="9"/>
  <c r="J20" i="9"/>
  <c r="J21" i="9"/>
  <c r="J22" i="9"/>
  <c r="J23" i="9"/>
  <c r="L24" i="9"/>
  <c r="J25" i="9"/>
  <c r="I6" i="9"/>
  <c r="J6" i="9" s="1"/>
  <c r="I7" i="9"/>
  <c r="J7" i="9" s="1"/>
  <c r="I8" i="9"/>
  <c r="J8" i="9" s="1"/>
  <c r="I9" i="9"/>
  <c r="J9" i="9" s="1"/>
  <c r="I10" i="9"/>
  <c r="I11" i="9"/>
  <c r="J11" i="9" s="1"/>
  <c r="I12" i="9"/>
  <c r="L12" i="9" s="1"/>
  <c r="I13" i="9"/>
  <c r="J13" i="9" s="1"/>
  <c r="I5" i="9"/>
  <c r="J5" i="9" s="1"/>
  <c r="J10" i="9"/>
  <c r="F9" i="7"/>
  <c r="F15" i="7" s="1"/>
  <c r="G9" i="7"/>
  <c r="H9" i="7"/>
  <c r="I9" i="7"/>
  <c r="F4" i="7"/>
  <c r="G4" i="7"/>
  <c r="H4" i="7"/>
  <c r="I4" i="7"/>
  <c r="F3" i="7"/>
  <c r="G3" i="7" s="1"/>
  <c r="H3" i="7" s="1"/>
  <c r="I3" i="7" s="1"/>
  <c r="E30" i="9" l="1"/>
  <c r="F30" i="9" s="1"/>
  <c r="E37" i="9"/>
  <c r="F37" i="9" s="1"/>
  <c r="E35" i="9"/>
  <c r="F35" i="9" s="1"/>
  <c r="E34" i="9"/>
  <c r="F34" i="9" s="1"/>
  <c r="E33" i="9"/>
  <c r="F33" i="9" s="1"/>
  <c r="E32" i="9"/>
  <c r="F32" i="9" s="1"/>
  <c r="E29" i="9"/>
  <c r="F29" i="9" s="1"/>
  <c r="E31" i="9"/>
  <c r="F31" i="9" s="1"/>
  <c r="H15" i="7"/>
  <c r="L36" i="9"/>
  <c r="I19" i="7"/>
  <c r="I17" i="7"/>
  <c r="I18" i="7"/>
  <c r="I16" i="7"/>
  <c r="H19" i="7"/>
  <c r="H16" i="7"/>
  <c r="H17" i="7"/>
  <c r="H18" i="7"/>
  <c r="G17" i="7"/>
  <c r="G19" i="7"/>
  <c r="G16" i="7"/>
  <c r="G18" i="7"/>
  <c r="F19" i="7"/>
  <c r="F18" i="7"/>
  <c r="F16" i="7"/>
  <c r="F17" i="7"/>
  <c r="I15" i="7"/>
  <c r="G15" i="7"/>
  <c r="E4" i="7"/>
  <c r="E9" i="7"/>
  <c r="E15" i="7" s="1"/>
  <c r="E25" i="9" l="1"/>
  <c r="F25" i="9" s="1"/>
  <c r="E18" i="9"/>
  <c r="F18" i="9" s="1"/>
  <c r="E19" i="9"/>
  <c r="F19" i="9" s="1"/>
  <c r="E20" i="9"/>
  <c r="F20" i="9" s="1"/>
  <c r="E22" i="9"/>
  <c r="F22" i="9" s="1"/>
  <c r="E23" i="9"/>
  <c r="F23" i="9" s="1"/>
  <c r="E17" i="9"/>
  <c r="F17" i="9" s="1"/>
  <c r="E21" i="9"/>
  <c r="F21" i="9" s="1"/>
  <c r="K6" i="9"/>
  <c r="L6" i="9" s="1"/>
  <c r="K7" i="9"/>
  <c r="L7" i="9" s="1"/>
  <c r="K9" i="9"/>
  <c r="L9" i="9" s="1"/>
  <c r="K10" i="9"/>
  <c r="L10" i="9" s="1"/>
  <c r="K8" i="9"/>
  <c r="L8" i="9" s="1"/>
  <c r="K11" i="9"/>
  <c r="L11" i="9" s="1"/>
  <c r="K13" i="9"/>
  <c r="L13" i="9" s="1"/>
  <c r="K5" i="9"/>
  <c r="L5" i="9" s="1"/>
  <c r="K35" i="9"/>
  <c r="L35" i="9" s="1"/>
  <c r="K32" i="9"/>
  <c r="L32" i="9" s="1"/>
  <c r="K33" i="9"/>
  <c r="L33" i="9" s="1"/>
  <c r="K34" i="9"/>
  <c r="L34" i="9" s="1"/>
  <c r="K37" i="9"/>
  <c r="L37" i="9" s="1"/>
  <c r="K29" i="9"/>
  <c r="L29" i="9" s="1"/>
  <c r="K30" i="9"/>
  <c r="L30" i="9" s="1"/>
  <c r="K31" i="9"/>
  <c r="L31" i="9" s="1"/>
  <c r="K20" i="9"/>
  <c r="L20" i="9" s="1"/>
  <c r="K21" i="9"/>
  <c r="L21" i="9" s="1"/>
  <c r="K25" i="9"/>
  <c r="L25" i="9" s="1"/>
  <c r="K22" i="9"/>
  <c r="L22" i="9" s="1"/>
  <c r="K23" i="9"/>
  <c r="L23" i="9" s="1"/>
  <c r="K17" i="9"/>
  <c r="L17" i="9" s="1"/>
  <c r="K18" i="9"/>
  <c r="L18" i="9" s="1"/>
  <c r="K19" i="9"/>
  <c r="L19" i="9" s="1"/>
  <c r="E16" i="7"/>
  <c r="E17" i="7"/>
  <c r="E18" i="7"/>
  <c r="E19" i="7"/>
  <c r="G8" i="5"/>
  <c r="G7" i="5"/>
  <c r="AV3" i="4"/>
  <c r="AV33" i="4"/>
  <c r="AU33" i="4"/>
  <c r="AV32" i="4"/>
  <c r="AU32" i="4"/>
  <c r="AV31" i="4"/>
  <c r="AU31" i="4"/>
  <c r="AV30" i="4"/>
  <c r="AU30" i="4"/>
  <c r="AV29" i="4"/>
  <c r="AU29" i="4"/>
  <c r="AV28" i="4"/>
  <c r="AU28" i="4"/>
  <c r="AV27" i="4"/>
  <c r="AU27" i="4"/>
  <c r="AV26" i="4"/>
  <c r="AU26" i="4"/>
  <c r="AV25" i="4"/>
  <c r="AU25" i="4"/>
  <c r="AV24" i="4"/>
  <c r="AU24" i="4"/>
  <c r="AV23" i="4"/>
  <c r="AU23" i="4"/>
  <c r="AV22" i="4"/>
  <c r="AU22" i="4"/>
  <c r="AV21" i="4"/>
  <c r="AU21" i="4"/>
  <c r="AV20" i="4"/>
  <c r="AU20" i="4"/>
  <c r="AV19" i="4"/>
  <c r="AU19" i="4"/>
  <c r="AV18" i="4"/>
  <c r="AU18" i="4"/>
  <c r="AV17" i="4"/>
  <c r="AU17" i="4"/>
  <c r="AV16" i="4"/>
  <c r="AU16" i="4"/>
  <c r="AV15" i="4"/>
  <c r="AU15" i="4"/>
  <c r="AV14" i="4"/>
  <c r="AU14" i="4"/>
  <c r="AV13" i="4"/>
  <c r="AU13" i="4"/>
  <c r="AV12" i="4"/>
  <c r="AU12" i="4"/>
  <c r="AV11" i="4"/>
  <c r="AU11" i="4"/>
  <c r="AV10" i="4"/>
  <c r="AU10" i="4"/>
  <c r="AV9" i="4"/>
  <c r="AU9" i="4"/>
  <c r="AV8" i="4"/>
  <c r="AU8" i="4"/>
  <c r="AV7" i="4"/>
  <c r="AU7" i="4"/>
  <c r="AV6" i="4"/>
  <c r="AU6" i="4"/>
  <c r="AV5" i="4"/>
  <c r="AU5" i="4"/>
  <c r="AV4" i="4"/>
  <c r="AU4" i="4"/>
  <c r="AF33" i="4" l="1"/>
  <c r="AE33" i="4"/>
  <c r="AF32" i="4"/>
  <c r="AE32" i="4"/>
  <c r="AF31" i="4"/>
  <c r="AE31" i="4"/>
  <c r="AF30" i="4"/>
  <c r="AE30" i="4"/>
  <c r="AF29" i="4"/>
  <c r="AE29" i="4"/>
  <c r="AF28" i="4"/>
  <c r="AE28" i="4"/>
  <c r="AF27" i="4"/>
  <c r="AE27" i="4"/>
  <c r="AF26" i="4"/>
  <c r="AE26" i="4"/>
  <c r="AF25" i="4"/>
  <c r="AE25" i="4"/>
  <c r="AF24" i="4"/>
  <c r="AE24" i="4"/>
  <c r="AF23" i="4"/>
  <c r="AE23" i="4"/>
  <c r="AF22" i="4"/>
  <c r="AE22" i="4"/>
  <c r="AF21" i="4"/>
  <c r="AE21" i="4"/>
  <c r="AF20" i="4"/>
  <c r="AE20" i="4"/>
  <c r="AF19" i="4"/>
  <c r="AE19" i="4"/>
  <c r="AF18" i="4"/>
  <c r="AE18" i="4"/>
  <c r="AF17" i="4"/>
  <c r="AE17" i="4"/>
  <c r="AF16" i="4"/>
  <c r="AE16" i="4"/>
  <c r="AF15" i="4"/>
  <c r="AE15" i="4"/>
  <c r="AF14" i="4"/>
  <c r="AE14" i="4"/>
  <c r="AF13" i="4"/>
  <c r="AE13" i="4"/>
  <c r="AF12" i="4"/>
  <c r="AE12" i="4"/>
  <c r="AF11" i="4"/>
  <c r="AE11" i="4"/>
  <c r="AF10" i="4"/>
  <c r="AE10" i="4"/>
  <c r="AF9" i="4"/>
  <c r="AE9" i="4"/>
  <c r="AF8" i="4"/>
  <c r="AE8" i="4"/>
  <c r="AF7" i="4"/>
  <c r="AE7" i="4"/>
  <c r="AF6" i="4"/>
  <c r="AE6" i="4"/>
  <c r="AF5" i="4"/>
  <c r="AE5" i="4"/>
  <c r="AF4" i="4"/>
  <c r="AE4" i="4"/>
  <c r="AF3" i="4"/>
  <c r="AE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" i="4"/>
  <c r="B5" i="6" l="1"/>
  <c r="B6" i="6" s="1"/>
  <c r="B7" i="6" s="1"/>
  <c r="B8" i="6" s="1"/>
  <c r="B9" i="6" s="1"/>
  <c r="B10" i="6" s="1"/>
  <c r="B11" i="6" s="1"/>
  <c r="B12" i="6" s="1"/>
</calcChain>
</file>

<file path=xl/sharedStrings.xml><?xml version="1.0" encoding="utf-8"?>
<sst xmlns="http://schemas.openxmlformats.org/spreadsheetml/2006/main" count="503" uniqueCount="186">
  <si>
    <t>[Lapse Rasio]</t>
  </si>
  <si>
    <t>Year</t>
  </si>
  <si>
    <t>COB</t>
  </si>
  <si>
    <t>Property</t>
  </si>
  <si>
    <t>Marine Cargo</t>
  </si>
  <si>
    <t>Marine Hull</t>
  </si>
  <si>
    <t>Motor Vehicle</t>
  </si>
  <si>
    <t>General Engineering</t>
  </si>
  <si>
    <t>General Accident</t>
  </si>
  <si>
    <t>Liability</t>
  </si>
  <si>
    <t>Credit</t>
  </si>
  <si>
    <t>Health</t>
  </si>
  <si>
    <t>PAD Gross CL 75%</t>
  </si>
  <si>
    <t>PAD Reas  CL 75%</t>
  </si>
  <si>
    <t>PAD Net  CL 75%</t>
  </si>
  <si>
    <t>PAD Gross  CL 95%</t>
  </si>
  <si>
    <t>PAD Net  CL 95%</t>
  </si>
  <si>
    <t>PAD Reas CL 95%</t>
  </si>
  <si>
    <t>ICHE</t>
  </si>
  <si>
    <t>BUSINESS CODE</t>
  </si>
  <si>
    <t>BUSINESS NAME</t>
  </si>
  <si>
    <t>R01</t>
  </si>
  <si>
    <t>FIRE (DAI)</t>
  </si>
  <si>
    <t>R02</t>
  </si>
  <si>
    <t>FIRE (PAR/CAR)</t>
  </si>
  <si>
    <t>R03</t>
  </si>
  <si>
    <t>EARTHQUAKE</t>
  </si>
  <si>
    <t>R04</t>
  </si>
  <si>
    <t>CONSORTIUM</t>
  </si>
  <si>
    <t>R05</t>
  </si>
  <si>
    <t>FIRE (RELIHOME)</t>
  </si>
  <si>
    <t>R06</t>
  </si>
  <si>
    <t>FIRE (HOUSEHOLD CONTENT)</t>
  </si>
  <si>
    <t>R07</t>
  </si>
  <si>
    <t>BUSINESS INTERRUPTION</t>
  </si>
  <si>
    <t>C01</t>
  </si>
  <si>
    <t>EXPORT</t>
  </si>
  <si>
    <t>C02</t>
  </si>
  <si>
    <t>IMPORT</t>
  </si>
  <si>
    <t>C03</t>
  </si>
  <si>
    <t>INTER INSULER</t>
  </si>
  <si>
    <t>C04</t>
  </si>
  <si>
    <t>LAND TRANSIT</t>
  </si>
  <si>
    <t>C05</t>
  </si>
  <si>
    <t>CARGO OTHERS - CASH IN TRANSIT</t>
  </si>
  <si>
    <t>S04</t>
  </si>
  <si>
    <t>MARINE HULL</t>
  </si>
  <si>
    <t>V01</t>
  </si>
  <si>
    <t>CAR</t>
  </si>
  <si>
    <t>V02</t>
  </si>
  <si>
    <t>TRUCK</t>
  </si>
  <si>
    <t>V03</t>
  </si>
  <si>
    <t>BUSS</t>
  </si>
  <si>
    <t>V04</t>
  </si>
  <si>
    <t>MOTOR CYCLE</t>
  </si>
  <si>
    <t>V05</t>
  </si>
  <si>
    <t>HEAVY EQUIPMENT</t>
  </si>
  <si>
    <t>A01</t>
  </si>
  <si>
    <t>WORKMENS COMPENSATION</t>
  </si>
  <si>
    <t>A02</t>
  </si>
  <si>
    <t>COMPREHENSIVE GENERAL AND PUBLIC LIABILITY</t>
  </si>
  <si>
    <t>A03</t>
  </si>
  <si>
    <t>EMPLOYERS LIABILITY</t>
  </si>
  <si>
    <t>A04</t>
  </si>
  <si>
    <t>GOLFERS LIABILITY</t>
  </si>
  <si>
    <t>A05</t>
  </si>
  <si>
    <t>PERSONAL ACCIDENT</t>
  </si>
  <si>
    <t>A06</t>
  </si>
  <si>
    <t>MONEY INSURANCE/CASH IN SAFE/CASH IN CASHIER'S BOX</t>
  </si>
  <si>
    <t>A07</t>
  </si>
  <si>
    <t>FIDELITY GUARANTEE</t>
  </si>
  <si>
    <t>A08</t>
  </si>
  <si>
    <t>BURGLARY/THEFT</t>
  </si>
  <si>
    <t>A09</t>
  </si>
  <si>
    <t>PLATE GLASS/NEON SIGNS/HEAVY EQUIPMENT</t>
  </si>
  <si>
    <t>A10</t>
  </si>
  <si>
    <t>TRAVEL BAGGAGE (TA &amp; TI)</t>
  </si>
  <si>
    <t>A11</t>
  </si>
  <si>
    <t>AUTOMOBILE LIABILITY</t>
  </si>
  <si>
    <t>A12</t>
  </si>
  <si>
    <t>MOVABLE ALL RISK</t>
  </si>
  <si>
    <t>A13</t>
  </si>
  <si>
    <t>PRODUCT LIABILITY</t>
  </si>
  <si>
    <t>A14</t>
  </si>
  <si>
    <t>PERSONAL ACCIDENT KASIH</t>
  </si>
  <si>
    <t>A15</t>
  </si>
  <si>
    <t>PERSONAL ACCIDENT INDOSAT</t>
  </si>
  <si>
    <t>A16</t>
  </si>
  <si>
    <t>DIRECTOR &amp; OFFICER LIABILITY</t>
  </si>
  <si>
    <t>A17</t>
  </si>
  <si>
    <t>ASURANSI KREDIT MULTIGUNA</t>
  </si>
  <si>
    <t>A18</t>
  </si>
  <si>
    <t>EXTENDED WARRANTY MACHINERY OF CAR</t>
  </si>
  <si>
    <t>E01</t>
  </si>
  <si>
    <t>CONTRACTORS ALL RISK</t>
  </si>
  <si>
    <t>E02</t>
  </si>
  <si>
    <t>ERECTION ALL RISK</t>
  </si>
  <si>
    <t>E03</t>
  </si>
  <si>
    <t>MACHINERY BREAKDOWN</t>
  </si>
  <si>
    <t>E04</t>
  </si>
  <si>
    <t>BOILER EXPLOSION INSURANCE</t>
  </si>
  <si>
    <t>E05</t>
  </si>
  <si>
    <t>ELECTRONIC EQUIPMENT INSURANCE</t>
  </si>
  <si>
    <t>E06</t>
  </si>
  <si>
    <t>CIVIL ENGINEERING COMPLETED RISK</t>
  </si>
  <si>
    <t>E07</t>
  </si>
  <si>
    <t>CONTRACTOR PLANT AND MACHINERY INSURANCE</t>
  </si>
  <si>
    <t>S01</t>
  </si>
  <si>
    <t>ENGINEERING</t>
  </si>
  <si>
    <t>S02</t>
  </si>
  <si>
    <t>THEFT</t>
  </si>
  <si>
    <t>S03</t>
  </si>
  <si>
    <t>LIABILITY</t>
  </si>
  <si>
    <t>S05</t>
  </si>
  <si>
    <t>AVIATION</t>
  </si>
  <si>
    <t>S06</t>
  </si>
  <si>
    <t>GOLFER</t>
  </si>
  <si>
    <t>S07</t>
  </si>
  <si>
    <t>OTHERS</t>
  </si>
  <si>
    <t>I01</t>
  </si>
  <si>
    <t>HYBRID</t>
  </si>
  <si>
    <t>I02</t>
  </si>
  <si>
    <t>INDEMNITY</t>
  </si>
  <si>
    <t>I03</t>
  </si>
  <si>
    <t>INDEMNITY PREMIUM</t>
  </si>
  <si>
    <t>I04</t>
  </si>
  <si>
    <t>RELIANCE PRIORITY</t>
  </si>
  <si>
    <t>LOSS RATIO (LOR)</t>
  </si>
  <si>
    <t>A19</t>
  </si>
  <si>
    <t>A20</t>
  </si>
  <si>
    <t>PROPERTY</t>
  </si>
  <si>
    <t>MARINE CARGO</t>
  </si>
  <si>
    <t>MOTOR VEHICLE</t>
  </si>
  <si>
    <t>GENERAL ACCIDENT</t>
  </si>
  <si>
    <t xml:space="preserve">CREDIT </t>
  </si>
  <si>
    <t>GENERAL ENGINEERING</t>
  </si>
  <si>
    <t>HEALTH</t>
  </si>
  <si>
    <t>Term</t>
  </si>
  <si>
    <t>SAK</t>
  </si>
  <si>
    <t>SAP</t>
  </si>
  <si>
    <t>[Indonesian Gov Bond Yield (IDR)] - 31 Des 2023</t>
  </si>
  <si>
    <t>[Indonesian Gov Bond Yield (IDR)] - 31 Des 2024</t>
  </si>
  <si>
    <t>[Indonesian Gov Bond Yield Spot Rate + Illiquid (IDR)] - 31 Des 2025</t>
  </si>
  <si>
    <t>Desember</t>
  </si>
  <si>
    <t>November</t>
  </si>
  <si>
    <t>Oktober</t>
  </si>
  <si>
    <t>September</t>
  </si>
  <si>
    <t>Agustus</t>
  </si>
  <si>
    <t>Juli</t>
  </si>
  <si>
    <t>Juni</t>
  </si>
  <si>
    <t>Mei</t>
  </si>
  <si>
    <t>April</t>
  </si>
  <si>
    <t>Maret</t>
  </si>
  <si>
    <t>Februari</t>
  </si>
  <si>
    <t>Januari</t>
  </si>
  <si>
    <t xml:space="preserve">Februari </t>
  </si>
  <si>
    <t>Bulan</t>
  </si>
  <si>
    <t>Tahun</t>
  </si>
  <si>
    <t>Inflasi</t>
  </si>
  <si>
    <t>31 Des 2023</t>
  </si>
  <si>
    <t>31 Des 2024</t>
  </si>
  <si>
    <t>31 Des 2025</t>
  </si>
  <si>
    <t>Valuasi</t>
  </si>
  <si>
    <t>Inflasi Rata-Rata 3 Tahun</t>
  </si>
  <si>
    <t>Premi Bruto</t>
  </si>
  <si>
    <t>Beban Usaha</t>
  </si>
  <si>
    <t>Beban Pemasaran</t>
  </si>
  <si>
    <t>Beban Pegawai dan Pengurus</t>
  </si>
  <si>
    <t>Beban Pendidikan dan Pelatihan</t>
  </si>
  <si>
    <t>Beban Umum dan Administrasi Lainnya</t>
  </si>
  <si>
    <t>Premi Penutupan Langsung</t>
  </si>
  <si>
    <t>Premi Penutupan Tidak Langsung</t>
  </si>
  <si>
    <t>Komisi Dibayar</t>
  </si>
  <si>
    <t>Rasio Biaya</t>
  </si>
  <si>
    <t>LOSS RASIO</t>
  </si>
  <si>
    <t>PAD</t>
  </si>
  <si>
    <t>EXPENSE</t>
  </si>
  <si>
    <t xml:space="preserve">TOTAL </t>
  </si>
  <si>
    <t>Credit Stoploss</t>
  </si>
  <si>
    <t>[Indonesian Gov Bond Yield Spot Rate + Illiquid (IDR)] - 31 Des 2022</t>
  </si>
  <si>
    <t>2/29/2021</t>
  </si>
  <si>
    <t>[Indonesian Gov Bond Yield (IDR)] - 31 Des 2021</t>
  </si>
  <si>
    <t>[Indonesian Gov Bond Yield (IDR)] - 31 Des 2020</t>
  </si>
  <si>
    <t>31 Des 2020</t>
  </si>
  <si>
    <t>31 Des 2021</t>
  </si>
  <si>
    <t>31 Des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</si>
</sst>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0.0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charset val="1"/>
      <scheme val="minor"/>
    </font>
    <font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88">
    <xf numFmtId="0" fontId="0" fillId="0" borderId="0" xfId="0"/>
    <xf numFmtId="0" fontId="4" fillId="0" borderId="0" xfId="0" applyFont="1"/>
    <xf numFmtId="0" fontId="3" fillId="0" borderId="0" xfId="0" applyFont="1"/>
    <xf numFmtId="0" fontId="3" fillId="3" borderId="2" xfId="0" applyFont="1" applyFill="1" applyBorder="1" applyAlignment="1">
      <alignment vertical="center"/>
    </xf>
    <xf numFmtId="49" fontId="5" fillId="0" borderId="2" xfId="0" quotePrefix="1" applyNumberFormat="1" applyFont="1" applyBorder="1"/>
    <xf numFmtId="0" fontId="1" fillId="0" borderId="2" xfId="3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2" xfId="0" applyFont="1" applyBorder="1" applyAlignment="1">
      <alignment horizontal="center"/>
    </xf>
    <xf numFmtId="10" fontId="1" fillId="0" borderId="2" xfId="2" applyNumberFormat="1" applyFont="1" applyBorder="1" applyAlignment="1">
      <alignment horizontal="left"/>
    </xf>
    <xf numFmtId="10" fontId="4" fillId="0" borderId="0" xfId="2" applyNumberFormat="1" applyFont="1" applyFill="1" applyBorder="1" applyAlignment="1">
      <alignment horizontal="center"/>
    </xf>
    <xf numFmtId="9" fontId="0" fillId="0" borderId="2" xfId="0" applyNumberFormat="1" applyBorder="1" applyAlignment="1">
      <alignment vertical="center"/>
    </xf>
    <xf numFmtId="10" fontId="1" fillId="0" borderId="2" xfId="2" applyNumberFormat="1" applyBorder="1" applyAlignment="1">
      <alignment vertical="center"/>
    </xf>
    <xf numFmtId="10" fontId="0" fillId="0" borderId="2" xfId="2" applyNumberFormat="1" applyFont="1" applyBorder="1" applyAlignment="1">
      <alignment vertical="center"/>
    </xf>
    <xf numFmtId="0" fontId="2" fillId="0" borderId="0" xfId="0" applyFont="1"/>
    <xf numFmtId="0" fontId="6" fillId="0" borderId="0" xfId="0" applyFont="1"/>
    <xf numFmtId="0" fontId="3" fillId="3" borderId="2" xfId="0" applyFont="1" applyFill="1" applyBorder="1" applyAlignment="1">
      <alignment horizontal="center" vertical="center"/>
    </xf>
    <xf numFmtId="10" fontId="0" fillId="0" borderId="2" xfId="2" applyNumberFormat="1" applyFont="1" applyFill="1" applyBorder="1" applyAlignment="1">
      <alignment vertical="center"/>
    </xf>
    <xf numFmtId="10" fontId="1" fillId="0" borderId="1" xfId="2" applyNumberFormat="1" applyFont="1" applyBorder="1" applyAlignment="1">
      <alignment horizontal="right"/>
    </xf>
    <xf numFmtId="10" fontId="1" fillId="0" borderId="2" xfId="2" applyNumberFormat="1" applyFont="1" applyFill="1" applyBorder="1" applyAlignment="1">
      <alignment horizontal="right"/>
    </xf>
    <xf numFmtId="0" fontId="1" fillId="0" borderId="2" xfId="0" applyFont="1" applyBorder="1"/>
    <xf numFmtId="10" fontId="1" fillId="0" borderId="2" xfId="2" applyNumberFormat="1" applyFont="1" applyFill="1" applyBorder="1"/>
    <xf numFmtId="17" fontId="1" fillId="0" borderId="2" xfId="0" applyNumberFormat="1" applyFont="1" applyBorder="1" applyAlignment="1">
      <alignment horizontal="left" vertical="center" wrapText="1"/>
    </xf>
    <xf numFmtId="17" fontId="1" fillId="0" borderId="2" xfId="0" applyNumberFormat="1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10" fontId="0" fillId="0" borderId="2" xfId="0" applyNumberFormat="1" applyBorder="1"/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6" xfId="0" applyNumberFormat="1" applyBorder="1"/>
    <xf numFmtId="9" fontId="0" fillId="0" borderId="4" xfId="0" applyNumberFormat="1" applyBorder="1"/>
    <xf numFmtId="0" fontId="2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7" xfId="0" applyNumberForma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/>
    <xf numFmtId="165" fontId="0" fillId="2" borderId="4" xfId="2" applyNumberFormat="1" applyFont="1" applyFill="1" applyBorder="1"/>
    <xf numFmtId="165" fontId="0" fillId="5" borderId="4" xfId="2" applyNumberFormat="1" applyFont="1" applyFill="1" applyBorder="1"/>
    <xf numFmtId="0" fontId="0" fillId="0" borderId="5" xfId="0" applyBorder="1"/>
    <xf numFmtId="0" fontId="3" fillId="0" borderId="6" xfId="0" applyFont="1" applyBorder="1" applyAlignment="1">
      <alignment horizontal="center"/>
    </xf>
    <xf numFmtId="164" fontId="0" fillId="0" borderId="6" xfId="0" applyNumberFormat="1" applyBorder="1"/>
    <xf numFmtId="164" fontId="0" fillId="0" borderId="4" xfId="0" applyNumberFormat="1" applyBorder="1"/>
    <xf numFmtId="164" fontId="0" fillId="0" borderId="7" xfId="0" applyNumberFormat="1" applyBorder="1"/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9" fontId="5" fillId="0" borderId="0" xfId="0" quotePrefix="1" applyNumberFormat="1" applyFont="1"/>
    <xf numFmtId="0" fontId="1" fillId="0" borderId="0" xfId="3" applyAlignment="1">
      <alignment vertical="center"/>
    </xf>
    <xf numFmtId="10" fontId="0" fillId="0" borderId="0" xfId="2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43" fontId="0" fillId="0" borderId="0" xfId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43" fontId="3" fillId="0" borderId="0" xfId="1" applyFont="1" applyFill="1" applyBorder="1" applyAlignment="1">
      <alignment horizontal="center" vertical="center"/>
    </xf>
    <xf numFmtId="43" fontId="0" fillId="0" borderId="0" xfId="1" applyFont="1" applyFill="1" applyBorder="1"/>
    <xf numFmtId="0" fontId="3" fillId="0" borderId="0" xfId="1" applyNumberFormat="1" applyFont="1" applyFill="1" applyBorder="1" applyAlignment="1">
      <alignment horizontal="center" vertical="center"/>
    </xf>
    <xf numFmtId="0" fontId="3" fillId="4" borderId="0" xfId="3" applyFont="1" applyFill="1" applyAlignment="1">
      <alignment vertical="center"/>
    </xf>
    <xf numFmtId="0" fontId="3" fillId="4" borderId="0" xfId="0" applyFont="1" applyFill="1"/>
    <xf numFmtId="10" fontId="3" fillId="4" borderId="0" xfId="2" applyNumberFormat="1" applyFont="1" applyFill="1" applyBorder="1" applyAlignment="1">
      <alignment vertical="center"/>
    </xf>
    <xf numFmtId="43" fontId="3" fillId="4" borderId="0" xfId="1" applyFont="1" applyFill="1" applyBorder="1" applyAlignment="1">
      <alignment vertical="center"/>
    </xf>
    <xf numFmtId="0" fontId="6" fillId="0" borderId="0" xfId="0" applyFont="1" applyAlignment="1">
      <alignment horizontal="left"/>
    </xf>
    <xf numFmtId="10" fontId="0" fillId="0" borderId="6" xfId="2" applyNumberFormat="1" applyFont="1" applyBorder="1"/>
    <xf numFmtId="10" fontId="0" fillId="0" borderId="4" xfId="2" applyNumberFormat="1" applyFont="1" applyBorder="1"/>
    <xf numFmtId="10" fontId="0" fillId="0" borderId="7" xfId="2" applyNumberFormat="1" applyFont="1" applyBorder="1"/>
    <xf numFmtId="10" fontId="0" fillId="0" borderId="6" xfId="0" applyNumberFormat="1" applyBorder="1"/>
    <xf numFmtId="10" fontId="0" fillId="0" borderId="4" xfId="0" applyNumberFormat="1" applyBorder="1"/>
    <xf numFmtId="10" fontId="0" fillId="0" borderId="7" xfId="0" applyNumberFormat="1" applyBorder="1"/>
    <xf numFmtId="10" fontId="0" fillId="0" borderId="10" xfId="2" applyNumberFormat="1" applyFont="1" applyBorder="1"/>
    <xf numFmtId="10" fontId="0" fillId="0" borderId="11" xfId="2" applyNumberFormat="1" applyFont="1" applyBorder="1"/>
    <xf numFmtId="10" fontId="0" fillId="0" borderId="12" xfId="2" applyNumberFormat="1" applyFont="1" applyBorder="1"/>
    <xf numFmtId="10" fontId="0" fillId="0" borderId="9" xfId="2" applyNumberFormat="1" applyFont="1" applyBorder="1"/>
    <xf numFmtId="10" fontId="0" fillId="0" borderId="3" xfId="2" applyNumberFormat="1" applyFont="1" applyBorder="1"/>
    <xf numFmtId="10" fontId="0" fillId="0" borderId="5" xfId="2" applyNumberFormat="1" applyFont="1" applyBorder="1"/>
    <xf numFmtId="9" fontId="0" fillId="0" borderId="3" xfId="2" applyFont="1" applyBorder="1" applyAlignment="1">
      <alignment horizontal="right"/>
    </xf>
    <xf numFmtId="9" fontId="0" fillId="0" borderId="5" xfId="2" applyFont="1" applyBorder="1" applyAlignment="1">
      <alignment horizontal="right"/>
    </xf>
    <xf numFmtId="164" fontId="0" fillId="0" borderId="3" xfId="2" applyNumberFormat="1" applyFont="1" applyBorder="1" applyAlignment="1">
      <alignment horizontal="right"/>
    </xf>
    <xf numFmtId="164" fontId="0" fillId="0" borderId="5" xfId="2" applyNumberFormat="1" applyFont="1" applyBorder="1" applyAlignment="1">
      <alignment horizontal="right"/>
    </xf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9" xfId="0" applyNumberFormat="1" applyBorder="1"/>
    <xf numFmtId="10" fontId="0" fillId="0" borderId="10" xfId="0" applyNumberFormat="1" applyBorder="1"/>
    <xf numFmtId="164" fontId="0" fillId="0" borderId="3" xfId="0" applyNumberFormat="1" applyBorder="1"/>
    <xf numFmtId="10" fontId="0" fillId="0" borderId="11" xfId="0" applyNumberFormat="1" applyBorder="1"/>
    <xf numFmtId="164" fontId="0" fillId="0" borderId="5" xfId="0" applyNumberFormat="1" applyBorder="1"/>
    <xf numFmtId="10" fontId="0" fillId="0" borderId="12" xfId="0" applyNumberFormat="1" applyBorder="1"/>
  </cellXfs>
  <cellStyles count="4">
    <cellStyle name="Comma" xfId="1" builtinId="3"/>
    <cellStyle name="Normal" xfId="0" builtinId="0"/>
    <cellStyle name="Normal 2" xfId="3" xr:uid="{151D49D0-B6D8-496F-88D9-A17C12E3755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DCA6-F872-4039-8218-0A048440B7FF}">
  <dimension ref="A2:F65"/>
  <sheetViews>
    <sheetView topLeftCell="C1" workbookViewId="0">
      <selection activeCell="D69" sqref="C69:D69"/>
    </sheetView>
  </sheetViews>
  <sheetFormatPr defaultRowHeight="14.4" x14ac:dyDescent="0.3"/>
  <cols>
    <col min="1" max="1" width="20.6640625" bestFit="1" customWidth="1"/>
    <col min="2" max="2" width="15" style="1" bestFit="1" customWidth="1"/>
    <col min="3" max="3" width="50.5546875" style="1" bestFit="1" customWidth="1"/>
    <col min="4" max="4" width="12.21875" style="1" customWidth="1"/>
    <col min="5" max="5" width="10.109375" style="1" customWidth="1"/>
    <col min="6" max="6" width="9.44140625" customWidth="1"/>
  </cols>
  <sheetData>
    <row r="2" spans="1:6" x14ac:dyDescent="0.3">
      <c r="A2" s="14" t="s">
        <v>127</v>
      </c>
    </row>
    <row r="3" spans="1:6" x14ac:dyDescent="0.3">
      <c r="A3" s="3" t="s">
        <v>2</v>
      </c>
      <c r="B3" s="3" t="s">
        <v>19</v>
      </c>
      <c r="C3" s="3" t="s">
        <v>20</v>
      </c>
      <c r="D3" s="15">
        <v>2023</v>
      </c>
      <c r="E3" s="15">
        <v>2024</v>
      </c>
      <c r="F3" s="15">
        <v>2025</v>
      </c>
    </row>
    <row r="4" spans="1:6" x14ac:dyDescent="0.3">
      <c r="A4" s="10" t="s">
        <v>130</v>
      </c>
      <c r="B4" s="4" t="s">
        <v>21</v>
      </c>
      <c r="C4" s="5" t="s">
        <v>22</v>
      </c>
      <c r="D4" s="11">
        <v>2.3913174485906724E-3</v>
      </c>
      <c r="E4" s="11">
        <v>0.8147070379583381</v>
      </c>
      <c r="F4" s="16">
        <v>0.25460701254818768</v>
      </c>
    </row>
    <row r="5" spans="1:6" x14ac:dyDescent="0.3">
      <c r="A5" s="10" t="s">
        <v>130</v>
      </c>
      <c r="B5" s="4" t="s">
        <v>23</v>
      </c>
      <c r="C5" s="5" t="s">
        <v>24</v>
      </c>
      <c r="D5" s="11">
        <v>0.92720448917376352</v>
      </c>
      <c r="E5" s="11">
        <v>1.6821218198006385</v>
      </c>
      <c r="F5" s="16">
        <v>0.25460701254818768</v>
      </c>
    </row>
    <row r="6" spans="1:6" x14ac:dyDescent="0.3">
      <c r="A6" s="10" t="s">
        <v>130</v>
      </c>
      <c r="B6" s="4" t="s">
        <v>25</v>
      </c>
      <c r="C6" s="5" t="s">
        <v>26</v>
      </c>
      <c r="D6" s="11">
        <v>0</v>
      </c>
      <c r="E6" s="11">
        <v>0</v>
      </c>
      <c r="F6" s="16">
        <v>0.25460701254818768</v>
      </c>
    </row>
    <row r="7" spans="1:6" x14ac:dyDescent="0.3">
      <c r="A7" s="10" t="s">
        <v>130</v>
      </c>
      <c r="B7" s="4" t="s">
        <v>27</v>
      </c>
      <c r="C7" s="5" t="s">
        <v>28</v>
      </c>
      <c r="D7" s="11">
        <v>0</v>
      </c>
      <c r="E7" s="11">
        <v>0</v>
      </c>
      <c r="F7" s="16">
        <v>0.25460701254818768</v>
      </c>
    </row>
    <row r="8" spans="1:6" x14ac:dyDescent="0.3">
      <c r="A8" s="10" t="s">
        <v>130</v>
      </c>
      <c r="B8" s="4" t="s">
        <v>29</v>
      </c>
      <c r="C8" s="5" t="s">
        <v>30</v>
      </c>
      <c r="D8" s="11">
        <v>0</v>
      </c>
      <c r="E8" s="11">
        <v>0</v>
      </c>
      <c r="F8" s="16">
        <v>0.25460701254818768</v>
      </c>
    </row>
    <row r="9" spans="1:6" x14ac:dyDescent="0.3">
      <c r="A9" s="10" t="s">
        <v>130</v>
      </c>
      <c r="B9" s="4" t="s">
        <v>31</v>
      </c>
      <c r="C9" s="5" t="s">
        <v>32</v>
      </c>
      <c r="D9" s="11">
        <v>0</v>
      </c>
      <c r="E9" s="11">
        <v>0</v>
      </c>
      <c r="F9" s="16">
        <v>0.25460701254818768</v>
      </c>
    </row>
    <row r="10" spans="1:6" x14ac:dyDescent="0.3">
      <c r="A10" s="10" t="s">
        <v>130</v>
      </c>
      <c r="B10" s="4" t="s">
        <v>33</v>
      </c>
      <c r="C10" s="5" t="s">
        <v>34</v>
      </c>
      <c r="D10" s="11">
        <v>0</v>
      </c>
      <c r="E10" s="11">
        <v>0</v>
      </c>
      <c r="F10" s="16">
        <v>0.25460701254818768</v>
      </c>
    </row>
    <row r="11" spans="1:6" x14ac:dyDescent="0.3">
      <c r="A11" s="10" t="s">
        <v>131</v>
      </c>
      <c r="B11" s="4" t="s">
        <v>35</v>
      </c>
      <c r="C11" s="5" t="s">
        <v>36</v>
      </c>
      <c r="D11" s="11">
        <v>0</v>
      </c>
      <c r="E11" s="11">
        <v>0</v>
      </c>
      <c r="F11" s="16">
        <v>0.1525408046519047</v>
      </c>
    </row>
    <row r="12" spans="1:6" x14ac:dyDescent="0.3">
      <c r="A12" s="10" t="s">
        <v>131</v>
      </c>
      <c r="B12" s="4" t="s">
        <v>37</v>
      </c>
      <c r="C12" s="5" t="s">
        <v>38</v>
      </c>
      <c r="D12" s="11">
        <v>0</v>
      </c>
      <c r="E12" s="11">
        <v>1.7797525863243582E-2</v>
      </c>
      <c r="F12" s="16">
        <v>0.1525408046519047</v>
      </c>
    </row>
    <row r="13" spans="1:6" x14ac:dyDescent="0.3">
      <c r="A13" s="10" t="s">
        <v>131</v>
      </c>
      <c r="B13" s="4" t="s">
        <v>39</v>
      </c>
      <c r="C13" s="5" t="s">
        <v>40</v>
      </c>
      <c r="D13" s="11">
        <v>0.10860875497917061</v>
      </c>
      <c r="E13" s="11">
        <v>0.35538815097039417</v>
      </c>
      <c r="F13" s="16">
        <v>0.1525408046519047</v>
      </c>
    </row>
    <row r="14" spans="1:6" x14ac:dyDescent="0.3">
      <c r="A14" s="10" t="s">
        <v>131</v>
      </c>
      <c r="B14" s="4" t="s">
        <v>41</v>
      </c>
      <c r="C14" s="5" t="s">
        <v>42</v>
      </c>
      <c r="D14" s="11">
        <v>0.10464781117760735</v>
      </c>
      <c r="E14" s="11">
        <v>9.6849793388591329E-2</v>
      </c>
      <c r="F14" s="16">
        <v>0.1525408046519047</v>
      </c>
    </row>
    <row r="15" spans="1:6" x14ac:dyDescent="0.3">
      <c r="A15" s="10" t="s">
        <v>131</v>
      </c>
      <c r="B15" s="4" t="s">
        <v>43</v>
      </c>
      <c r="C15" s="5" t="s">
        <v>44</v>
      </c>
      <c r="D15" s="11">
        <v>0</v>
      </c>
      <c r="E15" s="11">
        <v>0</v>
      </c>
      <c r="F15" s="16">
        <v>0.1525408046519047</v>
      </c>
    </row>
    <row r="16" spans="1:6" x14ac:dyDescent="0.3">
      <c r="A16" s="10" t="s">
        <v>46</v>
      </c>
      <c r="B16" s="6" t="s">
        <v>45</v>
      </c>
      <c r="C16" s="5" t="s">
        <v>46</v>
      </c>
      <c r="D16" s="11">
        <v>5.4611339338991989E-2</v>
      </c>
      <c r="E16" s="11">
        <v>0.11952308069911356</v>
      </c>
      <c r="F16" s="16">
        <v>1.7122117452214487E-2</v>
      </c>
    </row>
    <row r="17" spans="1:6" x14ac:dyDescent="0.3">
      <c r="A17" s="10" t="s">
        <v>132</v>
      </c>
      <c r="B17" s="6" t="s">
        <v>47</v>
      </c>
      <c r="C17" s="5" t="s">
        <v>48</v>
      </c>
      <c r="D17" s="11">
        <v>0.46517528032468763</v>
      </c>
      <c r="E17" s="11">
        <v>0.7189994197775379</v>
      </c>
      <c r="F17" s="16">
        <v>0.50675333114212018</v>
      </c>
    </row>
    <row r="18" spans="1:6" x14ac:dyDescent="0.3">
      <c r="A18" s="10" t="s">
        <v>132</v>
      </c>
      <c r="B18" s="6" t="s">
        <v>49</v>
      </c>
      <c r="C18" s="5" t="s">
        <v>50</v>
      </c>
      <c r="D18" s="11">
        <v>0.26951227000715211</v>
      </c>
      <c r="E18" s="11">
        <v>0.51738705064295754</v>
      </c>
      <c r="F18" s="16">
        <v>0.50675333114212018</v>
      </c>
    </row>
    <row r="19" spans="1:6" x14ac:dyDescent="0.3">
      <c r="A19" s="10" t="s">
        <v>132</v>
      </c>
      <c r="B19" s="6" t="s">
        <v>51</v>
      </c>
      <c r="C19" s="5" t="s">
        <v>52</v>
      </c>
      <c r="D19" s="11">
        <v>0.66815603443697913</v>
      </c>
      <c r="E19" s="11">
        <v>0.80354563046254324</v>
      </c>
      <c r="F19" s="16">
        <v>0.50675333114212018</v>
      </c>
    </row>
    <row r="20" spans="1:6" x14ac:dyDescent="0.3">
      <c r="A20" s="10" t="s">
        <v>132</v>
      </c>
      <c r="B20" s="6" t="s">
        <v>53</v>
      </c>
      <c r="C20" s="5" t="s">
        <v>54</v>
      </c>
      <c r="D20" s="11">
        <v>0.31295755421342508</v>
      </c>
      <c r="E20" s="11">
        <v>0.38055803230181318</v>
      </c>
      <c r="F20" s="16">
        <v>0.50675333114212018</v>
      </c>
    </row>
    <row r="21" spans="1:6" x14ac:dyDescent="0.3">
      <c r="A21" s="10" t="s">
        <v>132</v>
      </c>
      <c r="B21" s="6" t="s">
        <v>55</v>
      </c>
      <c r="C21" s="5" t="s">
        <v>56</v>
      </c>
      <c r="D21" s="11">
        <v>0</v>
      </c>
      <c r="E21" s="11">
        <v>0</v>
      </c>
      <c r="F21" s="16">
        <v>0.50675333114212018</v>
      </c>
    </row>
    <row r="22" spans="1:6" x14ac:dyDescent="0.3">
      <c r="A22" s="10" t="s">
        <v>133</v>
      </c>
      <c r="B22" s="6" t="s">
        <v>57</v>
      </c>
      <c r="C22" s="5" t="s">
        <v>58</v>
      </c>
      <c r="D22" s="11">
        <v>0</v>
      </c>
      <c r="E22" s="11">
        <v>0</v>
      </c>
      <c r="F22" s="16">
        <v>5.47125090297595E-2</v>
      </c>
    </row>
    <row r="23" spans="1:6" x14ac:dyDescent="0.3">
      <c r="A23" s="10" t="s">
        <v>112</v>
      </c>
      <c r="B23" s="6" t="s">
        <v>59</v>
      </c>
      <c r="C23" s="5" t="s">
        <v>60</v>
      </c>
      <c r="D23" s="11">
        <v>4.4146542569872695E-2</v>
      </c>
      <c r="E23" s="11">
        <v>1.0417618433950555</v>
      </c>
      <c r="F23" s="16">
        <v>3.1873400234385584E-2</v>
      </c>
    </row>
    <row r="24" spans="1:6" x14ac:dyDescent="0.3">
      <c r="A24" s="10" t="s">
        <v>133</v>
      </c>
      <c r="B24" s="6" t="s">
        <v>61</v>
      </c>
      <c r="C24" s="5" t="s">
        <v>62</v>
      </c>
      <c r="D24" s="11">
        <v>0</v>
      </c>
      <c r="E24" s="11">
        <v>0</v>
      </c>
      <c r="F24" s="16">
        <v>5.47125090297595E-2</v>
      </c>
    </row>
    <row r="25" spans="1:6" x14ac:dyDescent="0.3">
      <c r="A25" s="10" t="s">
        <v>133</v>
      </c>
      <c r="B25" s="6" t="s">
        <v>63</v>
      </c>
      <c r="C25" s="5" t="s">
        <v>64</v>
      </c>
      <c r="D25" s="11">
        <v>0</v>
      </c>
      <c r="E25" s="11">
        <v>0</v>
      </c>
      <c r="F25" s="16">
        <v>5.47125090297595E-2</v>
      </c>
    </row>
    <row r="26" spans="1:6" x14ac:dyDescent="0.3">
      <c r="A26" s="10" t="s">
        <v>133</v>
      </c>
      <c r="B26" s="6" t="s">
        <v>65</v>
      </c>
      <c r="C26" s="5" t="s">
        <v>66</v>
      </c>
      <c r="D26" s="11">
        <v>6.8822189086591615E-2</v>
      </c>
      <c r="E26" s="11">
        <v>6.5011625242304291E-2</v>
      </c>
      <c r="F26" s="16">
        <v>5.47125090297595E-2</v>
      </c>
    </row>
    <row r="27" spans="1:6" x14ac:dyDescent="0.3">
      <c r="A27" s="10" t="s">
        <v>133</v>
      </c>
      <c r="B27" s="6" t="s">
        <v>67</v>
      </c>
      <c r="C27" s="5" t="s">
        <v>68</v>
      </c>
      <c r="D27" s="11">
        <v>3.323725512200288E-2</v>
      </c>
      <c r="E27" s="11">
        <v>0</v>
      </c>
      <c r="F27" s="16">
        <v>5.47125090297595E-2</v>
      </c>
    </row>
    <row r="28" spans="1:6" x14ac:dyDescent="0.3">
      <c r="A28" s="10" t="s">
        <v>133</v>
      </c>
      <c r="B28" s="6" t="s">
        <v>69</v>
      </c>
      <c r="C28" s="5" t="s">
        <v>70</v>
      </c>
      <c r="D28" s="11">
        <v>0</v>
      </c>
      <c r="E28" s="11">
        <v>0</v>
      </c>
      <c r="F28" s="16">
        <v>5.47125090297595E-2</v>
      </c>
    </row>
    <row r="29" spans="1:6" x14ac:dyDescent="0.3">
      <c r="A29" s="10" t="s">
        <v>133</v>
      </c>
      <c r="B29" s="6" t="s">
        <v>71</v>
      </c>
      <c r="C29" s="5" t="s">
        <v>72</v>
      </c>
      <c r="D29" s="11">
        <v>0</v>
      </c>
      <c r="E29" s="11">
        <v>0</v>
      </c>
      <c r="F29" s="16">
        <v>5.47125090297595E-2</v>
      </c>
    </row>
    <row r="30" spans="1:6" x14ac:dyDescent="0.3">
      <c r="A30" s="10" t="s">
        <v>133</v>
      </c>
      <c r="B30" s="6" t="s">
        <v>73</v>
      </c>
      <c r="C30" s="5" t="s">
        <v>74</v>
      </c>
      <c r="D30" s="11">
        <v>0.14996538664148032</v>
      </c>
      <c r="E30" s="11">
        <v>0.53579394779265155</v>
      </c>
      <c r="F30" s="16">
        <v>5.47125090297595E-2</v>
      </c>
    </row>
    <row r="31" spans="1:6" x14ac:dyDescent="0.3">
      <c r="A31" s="10" t="s">
        <v>133</v>
      </c>
      <c r="B31" s="6" t="s">
        <v>75</v>
      </c>
      <c r="C31" s="5" t="s">
        <v>76</v>
      </c>
      <c r="D31" s="11">
        <v>0</v>
      </c>
      <c r="E31" s="11">
        <v>0</v>
      </c>
      <c r="F31" s="16">
        <v>5.47125090297595E-2</v>
      </c>
    </row>
    <row r="32" spans="1:6" x14ac:dyDescent="0.3">
      <c r="A32" s="10" t="s">
        <v>133</v>
      </c>
      <c r="B32" s="6" t="s">
        <v>77</v>
      </c>
      <c r="C32" s="5" t="s">
        <v>78</v>
      </c>
      <c r="D32" s="11">
        <v>0</v>
      </c>
      <c r="E32" s="11">
        <v>0</v>
      </c>
      <c r="F32" s="16">
        <v>5.47125090297595E-2</v>
      </c>
    </row>
    <row r="33" spans="1:6" x14ac:dyDescent="0.3">
      <c r="A33" s="10" t="s">
        <v>133</v>
      </c>
      <c r="B33" s="6" t="s">
        <v>79</v>
      </c>
      <c r="C33" s="5" t="s">
        <v>80</v>
      </c>
      <c r="D33" s="11">
        <v>2.3420307573044281E-3</v>
      </c>
      <c r="E33" s="11">
        <v>1.1918258448086329E-3</v>
      </c>
      <c r="F33" s="16">
        <v>5.47125090297595E-2</v>
      </c>
    </row>
    <row r="34" spans="1:6" x14ac:dyDescent="0.3">
      <c r="A34" s="10" t="s">
        <v>133</v>
      </c>
      <c r="B34" s="6" t="s">
        <v>81</v>
      </c>
      <c r="C34" s="5" t="s">
        <v>82</v>
      </c>
      <c r="D34" s="11">
        <v>0</v>
      </c>
      <c r="E34" s="11">
        <v>0</v>
      </c>
      <c r="F34" s="16">
        <v>5.47125090297595E-2</v>
      </c>
    </row>
    <row r="35" spans="1:6" x14ac:dyDescent="0.3">
      <c r="A35" s="10" t="s">
        <v>133</v>
      </c>
      <c r="B35" s="6" t="s">
        <v>83</v>
      </c>
      <c r="C35" s="5" t="s">
        <v>84</v>
      </c>
      <c r="D35" s="11">
        <v>0</v>
      </c>
      <c r="E35" s="11">
        <v>0</v>
      </c>
      <c r="F35" s="16">
        <v>5.47125090297595E-2</v>
      </c>
    </row>
    <row r="36" spans="1:6" x14ac:dyDescent="0.3">
      <c r="A36" s="10" t="s">
        <v>133</v>
      </c>
      <c r="B36" s="6" t="s">
        <v>85</v>
      </c>
      <c r="C36" s="5" t="s">
        <v>86</v>
      </c>
      <c r="D36" s="11">
        <v>0</v>
      </c>
      <c r="E36" s="11">
        <v>0</v>
      </c>
      <c r="F36" s="16">
        <v>5.47125090297595E-2</v>
      </c>
    </row>
    <row r="37" spans="1:6" x14ac:dyDescent="0.3">
      <c r="A37" s="10" t="s">
        <v>133</v>
      </c>
      <c r="B37" s="6" t="s">
        <v>87</v>
      </c>
      <c r="C37" s="5" t="s">
        <v>88</v>
      </c>
      <c r="D37" s="11">
        <v>0</v>
      </c>
      <c r="E37" s="11">
        <v>0</v>
      </c>
      <c r="F37" s="16">
        <v>5.47125090297595E-2</v>
      </c>
    </row>
    <row r="38" spans="1:6" x14ac:dyDescent="0.3">
      <c r="A38" s="10" t="s">
        <v>134</v>
      </c>
      <c r="B38" s="6" t="s">
        <v>89</v>
      </c>
      <c r="C38" s="5" t="s">
        <v>90</v>
      </c>
      <c r="D38" s="11">
        <v>0.59154185150584182</v>
      </c>
      <c r="E38" s="11">
        <v>0.56927249111027589</v>
      </c>
      <c r="F38" s="16">
        <v>0.56927249111027589</v>
      </c>
    </row>
    <row r="39" spans="1:6" x14ac:dyDescent="0.3">
      <c r="A39" s="10" t="s">
        <v>133</v>
      </c>
      <c r="B39" s="6" t="s">
        <v>91</v>
      </c>
      <c r="C39" s="5" t="s">
        <v>92</v>
      </c>
      <c r="D39" s="11">
        <v>0</v>
      </c>
      <c r="E39" s="11">
        <v>0</v>
      </c>
      <c r="F39" s="16">
        <v>5.47125090297595E-2</v>
      </c>
    </row>
    <row r="40" spans="1:6" x14ac:dyDescent="0.3">
      <c r="A40" s="10" t="s">
        <v>112</v>
      </c>
      <c r="B40" s="6" t="s">
        <v>128</v>
      </c>
      <c r="C40" s="5"/>
      <c r="D40" s="11">
        <v>0</v>
      </c>
      <c r="E40" s="11">
        <v>0</v>
      </c>
      <c r="F40" s="16">
        <v>3.1873400234385584E-2</v>
      </c>
    </row>
    <row r="41" spans="1:6" x14ac:dyDescent="0.3">
      <c r="A41" s="10" t="s">
        <v>134</v>
      </c>
      <c r="B41" s="6" t="s">
        <v>129</v>
      </c>
      <c r="C41" s="5" t="s">
        <v>90</v>
      </c>
      <c r="D41" s="11">
        <v>0</v>
      </c>
      <c r="E41" s="11">
        <v>0.88546239167246643</v>
      </c>
      <c r="F41" s="16">
        <v>0.88546239167246643</v>
      </c>
    </row>
    <row r="42" spans="1:6" x14ac:dyDescent="0.3">
      <c r="A42" s="10" t="s">
        <v>135</v>
      </c>
      <c r="B42" s="6" t="s">
        <v>93</v>
      </c>
      <c r="C42" s="5" t="s">
        <v>94</v>
      </c>
      <c r="D42" s="11">
        <v>0</v>
      </c>
      <c r="E42" s="11">
        <v>0</v>
      </c>
      <c r="F42" s="16">
        <v>0.21827839134016153</v>
      </c>
    </row>
    <row r="43" spans="1:6" x14ac:dyDescent="0.3">
      <c r="A43" s="10" t="s">
        <v>135</v>
      </c>
      <c r="B43" s="6" t="s">
        <v>95</v>
      </c>
      <c r="C43" s="5" t="s">
        <v>96</v>
      </c>
      <c r="D43" s="11">
        <v>0</v>
      </c>
      <c r="E43" s="11">
        <v>0</v>
      </c>
      <c r="F43" s="16">
        <v>0.21827839134016153</v>
      </c>
    </row>
    <row r="44" spans="1:6" x14ac:dyDescent="0.3">
      <c r="A44" s="10" t="s">
        <v>135</v>
      </c>
      <c r="B44" s="6" t="s">
        <v>97</v>
      </c>
      <c r="C44" s="6" t="s">
        <v>98</v>
      </c>
      <c r="D44" s="12">
        <v>0.32265986975687871</v>
      </c>
      <c r="E44" s="12">
        <v>0.14233173042795719</v>
      </c>
      <c r="F44" s="16">
        <v>0.21827839134016153</v>
      </c>
    </row>
    <row r="45" spans="1:6" x14ac:dyDescent="0.3">
      <c r="A45" s="10" t="s">
        <v>135</v>
      </c>
      <c r="B45" s="6" t="s">
        <v>99</v>
      </c>
      <c r="C45" s="6" t="s">
        <v>100</v>
      </c>
      <c r="D45" s="12">
        <v>0</v>
      </c>
      <c r="E45" s="12">
        <v>0</v>
      </c>
      <c r="F45" s="16">
        <v>0.21827839134016153</v>
      </c>
    </row>
    <row r="46" spans="1:6" x14ac:dyDescent="0.3">
      <c r="A46" s="10" t="s">
        <v>135</v>
      </c>
      <c r="B46" s="6" t="s">
        <v>101</v>
      </c>
      <c r="C46" s="6" t="s">
        <v>102</v>
      </c>
      <c r="D46" s="12">
        <v>0</v>
      </c>
      <c r="E46" s="12">
        <v>0</v>
      </c>
      <c r="F46" s="16">
        <v>0.21827839134016153</v>
      </c>
    </row>
    <row r="47" spans="1:6" x14ac:dyDescent="0.3">
      <c r="A47" s="10" t="s">
        <v>135</v>
      </c>
      <c r="B47" s="6" t="s">
        <v>103</v>
      </c>
      <c r="C47" s="6" t="s">
        <v>104</v>
      </c>
      <c r="D47" s="12">
        <v>0</v>
      </c>
      <c r="E47" s="12">
        <v>0</v>
      </c>
      <c r="F47" s="16">
        <v>0.21827839134016153</v>
      </c>
    </row>
    <row r="48" spans="1:6" x14ac:dyDescent="0.3">
      <c r="A48" s="10" t="s">
        <v>135</v>
      </c>
      <c r="B48" s="6" t="s">
        <v>105</v>
      </c>
      <c r="C48" s="6" t="s">
        <v>106</v>
      </c>
      <c r="D48" s="12">
        <v>0.41653607609553678</v>
      </c>
      <c r="E48" s="12">
        <v>0.27359119010647942</v>
      </c>
      <c r="F48" s="16">
        <v>0.21827839134016153</v>
      </c>
    </row>
    <row r="49" spans="1:6" x14ac:dyDescent="0.3">
      <c r="A49" s="10" t="s">
        <v>133</v>
      </c>
      <c r="B49" s="6" t="s">
        <v>107</v>
      </c>
      <c r="C49" s="6" t="s">
        <v>108</v>
      </c>
      <c r="D49" s="12">
        <v>0</v>
      </c>
      <c r="E49" s="12">
        <v>0</v>
      </c>
      <c r="F49" s="16">
        <v>5.47125090297595E-2</v>
      </c>
    </row>
    <row r="50" spans="1:6" x14ac:dyDescent="0.3">
      <c r="A50" s="10" t="s">
        <v>133</v>
      </c>
      <c r="B50" s="6" t="s">
        <v>109</v>
      </c>
      <c r="C50" s="6" t="s">
        <v>110</v>
      </c>
      <c r="D50" s="12">
        <v>0</v>
      </c>
      <c r="E50" s="12">
        <v>0</v>
      </c>
      <c r="F50" s="16">
        <v>5.47125090297595E-2</v>
      </c>
    </row>
    <row r="51" spans="1:6" x14ac:dyDescent="0.3">
      <c r="A51" s="10" t="s">
        <v>133</v>
      </c>
      <c r="B51" s="6" t="s">
        <v>111</v>
      </c>
      <c r="C51" s="6" t="s">
        <v>112</v>
      </c>
      <c r="D51" s="12">
        <v>0</v>
      </c>
      <c r="E51" s="12">
        <v>0</v>
      </c>
      <c r="F51" s="16">
        <v>5.47125090297595E-2</v>
      </c>
    </row>
    <row r="52" spans="1:6" x14ac:dyDescent="0.3">
      <c r="A52" s="10" t="s">
        <v>133</v>
      </c>
      <c r="B52" s="6" t="s">
        <v>113</v>
      </c>
      <c r="C52" s="6" t="s">
        <v>114</v>
      </c>
      <c r="D52" s="12">
        <v>0</v>
      </c>
      <c r="E52" s="12">
        <v>0</v>
      </c>
      <c r="F52" s="16">
        <v>5.47125090297595E-2</v>
      </c>
    </row>
    <row r="53" spans="1:6" x14ac:dyDescent="0.3">
      <c r="A53" s="10" t="s">
        <v>133</v>
      </c>
      <c r="B53" s="6" t="s">
        <v>115</v>
      </c>
      <c r="C53" s="6" t="s">
        <v>116</v>
      </c>
      <c r="D53" s="12">
        <v>0</v>
      </c>
      <c r="E53" s="12">
        <v>0</v>
      </c>
      <c r="F53" s="16">
        <v>5.47125090297595E-2</v>
      </c>
    </row>
    <row r="54" spans="1:6" x14ac:dyDescent="0.3">
      <c r="A54" s="10" t="s">
        <v>133</v>
      </c>
      <c r="B54" s="6" t="s">
        <v>117</v>
      </c>
      <c r="C54" s="6" t="s">
        <v>118</v>
      </c>
      <c r="D54" s="12">
        <v>0</v>
      </c>
      <c r="E54" s="12">
        <v>0</v>
      </c>
      <c r="F54" s="16">
        <v>5.47125090297595E-2</v>
      </c>
    </row>
    <row r="55" spans="1:6" x14ac:dyDescent="0.3">
      <c r="A55" s="10" t="s">
        <v>136</v>
      </c>
      <c r="B55" s="6" t="s">
        <v>119</v>
      </c>
      <c r="C55" s="6" t="s">
        <v>120</v>
      </c>
      <c r="D55" s="12">
        <v>1.0378949986321249</v>
      </c>
      <c r="E55" s="12">
        <v>0.83723435786412215</v>
      </c>
      <c r="F55" s="16">
        <v>0.40093522317496522</v>
      </c>
    </row>
    <row r="56" spans="1:6" x14ac:dyDescent="0.3">
      <c r="A56" s="10" t="s">
        <v>136</v>
      </c>
      <c r="B56" s="6" t="s">
        <v>121</v>
      </c>
      <c r="C56" s="6" t="s">
        <v>122</v>
      </c>
      <c r="D56" s="12">
        <v>0.96564843285217672</v>
      </c>
      <c r="E56" s="12">
        <v>0.76696689172955601</v>
      </c>
      <c r="F56" s="16">
        <v>0.40093522317496522</v>
      </c>
    </row>
    <row r="57" spans="1:6" x14ac:dyDescent="0.3">
      <c r="A57" s="10" t="s">
        <v>136</v>
      </c>
      <c r="B57" s="6" t="s">
        <v>123</v>
      </c>
      <c r="C57" s="6" t="s">
        <v>124</v>
      </c>
      <c r="D57" s="12">
        <v>0.97951516278998618</v>
      </c>
      <c r="E57" s="12">
        <v>0.71489264591218515</v>
      </c>
      <c r="F57" s="16">
        <v>0.40093522317496522</v>
      </c>
    </row>
    <row r="58" spans="1:6" x14ac:dyDescent="0.3">
      <c r="A58" s="10" t="s">
        <v>136</v>
      </c>
      <c r="B58" s="6" t="s">
        <v>125</v>
      </c>
      <c r="C58" s="6" t="s">
        <v>126</v>
      </c>
      <c r="D58" s="12">
        <v>0.13205089591598118</v>
      </c>
      <c r="E58" s="12">
        <v>0.13205089591598118</v>
      </c>
      <c r="F58" s="16">
        <v>0.40093522317496522</v>
      </c>
    </row>
    <row r="59" spans="1:6" x14ac:dyDescent="0.3">
      <c r="F59" s="1"/>
    </row>
    <row r="60" spans="1:6" x14ac:dyDescent="0.3">
      <c r="A60" s="3" t="s">
        <v>2</v>
      </c>
      <c r="B60" s="3" t="s">
        <v>19</v>
      </c>
      <c r="C60" s="3" t="s">
        <v>20</v>
      </c>
      <c r="D60" s="15">
        <v>2023</v>
      </c>
      <c r="E60" s="15">
        <v>2024</v>
      </c>
      <c r="F60" s="15">
        <v>2025</v>
      </c>
    </row>
    <row r="61" spans="1:6" x14ac:dyDescent="0.3">
      <c r="A61" s="10" t="s">
        <v>132</v>
      </c>
      <c r="B61" s="7" t="s">
        <v>47</v>
      </c>
      <c r="C61" s="8" t="s">
        <v>48</v>
      </c>
      <c r="D61" s="17">
        <v>5.8978511513381529E-3</v>
      </c>
      <c r="E61" s="17">
        <v>7.9929481835535152E-2</v>
      </c>
      <c r="F61" s="18">
        <v>0.50675333114212018</v>
      </c>
    </row>
    <row r="62" spans="1:6" x14ac:dyDescent="0.3">
      <c r="A62" s="10" t="s">
        <v>132</v>
      </c>
      <c r="B62" s="7" t="s">
        <v>49</v>
      </c>
      <c r="C62" s="8" t="s">
        <v>50</v>
      </c>
      <c r="D62" s="17">
        <v>8.0803675631503352E-3</v>
      </c>
      <c r="E62" s="17">
        <v>0.11577370944312049</v>
      </c>
      <c r="F62" s="18">
        <v>0.50675333114212018</v>
      </c>
    </row>
    <row r="63" spans="1:6" x14ac:dyDescent="0.3">
      <c r="A63" s="10" t="s">
        <v>132</v>
      </c>
      <c r="B63" s="7" t="s">
        <v>51</v>
      </c>
      <c r="C63" s="8" t="s">
        <v>52</v>
      </c>
      <c r="D63" s="17">
        <v>0</v>
      </c>
      <c r="E63" s="17">
        <v>0</v>
      </c>
      <c r="F63" s="18">
        <v>0.50675333114212018</v>
      </c>
    </row>
    <row r="64" spans="1:6" x14ac:dyDescent="0.3">
      <c r="A64" s="10" t="s">
        <v>132</v>
      </c>
      <c r="B64" s="7" t="s">
        <v>53</v>
      </c>
      <c r="C64" s="8" t="s">
        <v>54</v>
      </c>
      <c r="D64" s="17">
        <v>9.2301475228370664E-2</v>
      </c>
      <c r="E64" s="17">
        <v>0.36491602188005295</v>
      </c>
      <c r="F64" s="18">
        <v>0.50675333114212018</v>
      </c>
    </row>
    <row r="65" spans="2:2" x14ac:dyDescent="0.3">
      <c r="B6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EB849-9210-4AC9-AA70-07462C160971}">
  <dimension ref="B2:H12"/>
  <sheetViews>
    <sheetView workbookViewId="0">
      <selection activeCell="B18" sqref="B18"/>
    </sheetView>
  </sheetViews>
  <sheetFormatPr defaultRowHeight="14.4" x14ac:dyDescent="0.3"/>
  <cols>
    <col min="2" max="2" width="26.21875" customWidth="1"/>
    <col min="3" max="5" width="8.109375" customWidth="1"/>
    <col min="6" max="6" width="6.77734375" bestFit="1" customWidth="1"/>
  </cols>
  <sheetData>
    <row r="2" spans="2:8" x14ac:dyDescent="0.3">
      <c r="B2" s="14" t="s">
        <v>174</v>
      </c>
      <c r="C2" s="14"/>
      <c r="D2" s="14"/>
      <c r="E2" s="14"/>
      <c r="F2" s="2"/>
      <c r="G2" s="2"/>
      <c r="H2" s="2"/>
    </row>
    <row r="3" spans="2:8" x14ac:dyDescent="0.3">
      <c r="B3" s="26" t="s">
        <v>2</v>
      </c>
      <c r="C3" s="27">
        <v>2020</v>
      </c>
      <c r="D3" s="27">
        <v>2021</v>
      </c>
      <c r="E3" s="27">
        <v>2022</v>
      </c>
      <c r="F3" s="41">
        <v>2023</v>
      </c>
      <c r="G3" s="27">
        <v>2024</v>
      </c>
      <c r="H3" s="27">
        <v>2025</v>
      </c>
    </row>
    <row r="4" spans="2:8" x14ac:dyDescent="0.3">
      <c r="B4" s="45" t="s">
        <v>3</v>
      </c>
      <c r="C4" s="75">
        <v>0.51</v>
      </c>
      <c r="D4" s="75">
        <v>0.48</v>
      </c>
      <c r="E4" s="77">
        <v>0.43099999999999999</v>
      </c>
      <c r="F4" s="42">
        <v>0.76229246608626267</v>
      </c>
      <c r="G4" s="42">
        <v>1.2263340351599692</v>
      </c>
      <c r="H4" s="42">
        <v>0.25460701254818768</v>
      </c>
    </row>
    <row r="5" spans="2:8" x14ac:dyDescent="0.3">
      <c r="B5" s="45" t="s">
        <v>4</v>
      </c>
      <c r="C5" s="75">
        <v>0.12</v>
      </c>
      <c r="D5" s="75">
        <v>7.0000000000000007E-2</v>
      </c>
      <c r="E5" s="77">
        <v>4.5999999999999999E-2</v>
      </c>
      <c r="F5" s="43">
        <v>0.22852501057298888</v>
      </c>
      <c r="G5" s="43">
        <v>0.25083650256241036</v>
      </c>
      <c r="H5" s="43">
        <v>0.1525408046519047</v>
      </c>
    </row>
    <row r="6" spans="2:8" x14ac:dyDescent="0.3">
      <c r="B6" s="45" t="s">
        <v>5</v>
      </c>
      <c r="C6" s="75">
        <v>0.31</v>
      </c>
      <c r="D6" s="75">
        <v>0.28999999999999998</v>
      </c>
      <c r="E6" s="77">
        <v>4.5999999999999999E-2</v>
      </c>
      <c r="F6" s="43">
        <v>5.0898566611626318E-2</v>
      </c>
      <c r="G6" s="43">
        <v>0.11952308069911356</v>
      </c>
      <c r="H6" s="43">
        <v>1.7122117452214487E-2</v>
      </c>
    </row>
    <row r="7" spans="2:8" x14ac:dyDescent="0.3">
      <c r="B7" s="45" t="s">
        <v>6</v>
      </c>
      <c r="C7" s="75">
        <v>0.5</v>
      </c>
      <c r="D7" s="75">
        <v>0.45</v>
      </c>
      <c r="E7" s="77">
        <v>0.43099999999999999</v>
      </c>
      <c r="F7" s="43">
        <v>0.52412826779474508</v>
      </c>
      <c r="G7" s="43">
        <v>0.59947946252809736</v>
      </c>
      <c r="H7" s="43">
        <v>0.50675333114212018</v>
      </c>
    </row>
    <row r="8" spans="2:8" x14ac:dyDescent="0.3">
      <c r="B8" s="45" t="s">
        <v>8</v>
      </c>
      <c r="C8" s="75">
        <v>0.68</v>
      </c>
      <c r="D8" s="75">
        <v>0.67</v>
      </c>
      <c r="E8" s="77">
        <v>0.74099999999999999</v>
      </c>
      <c r="F8" s="43">
        <v>7.8311102917674846E-2</v>
      </c>
      <c r="G8" s="43">
        <v>7.5049446897666683E-2</v>
      </c>
      <c r="H8" s="43">
        <v>5.47125090297595E-2</v>
      </c>
    </row>
    <row r="9" spans="2:8" x14ac:dyDescent="0.3">
      <c r="B9" s="45" t="s">
        <v>7</v>
      </c>
      <c r="C9" s="75">
        <v>0.75</v>
      </c>
      <c r="D9" s="75">
        <v>0.56000000000000005</v>
      </c>
      <c r="E9" s="77">
        <v>0.23400000000000001</v>
      </c>
      <c r="F9" s="43">
        <v>0.52915439598518432</v>
      </c>
      <c r="G9" s="43">
        <v>0.26225301159411413</v>
      </c>
      <c r="H9" s="43">
        <v>0.21827839134016153</v>
      </c>
    </row>
    <row r="10" spans="2:8" x14ac:dyDescent="0.3">
      <c r="B10" s="45" t="s">
        <v>9</v>
      </c>
      <c r="C10" s="75">
        <v>0.68</v>
      </c>
      <c r="D10" s="75">
        <v>0.67</v>
      </c>
      <c r="E10" s="77">
        <v>0.74099999999999999</v>
      </c>
      <c r="F10" s="43">
        <v>8.9811745209906299E-2</v>
      </c>
      <c r="G10" s="43">
        <v>1.0417618433950555</v>
      </c>
      <c r="H10" s="43">
        <v>3.1873400234385584E-2</v>
      </c>
    </row>
    <row r="11" spans="2:8" x14ac:dyDescent="0.3">
      <c r="B11" s="45" t="s">
        <v>178</v>
      </c>
      <c r="C11" s="75"/>
      <c r="D11" s="75"/>
      <c r="E11" s="77"/>
      <c r="F11" s="43">
        <v>0.90140809379779574</v>
      </c>
      <c r="G11" s="43">
        <v>0.88546239167246643</v>
      </c>
      <c r="H11" s="43">
        <v>0.56927249111027589</v>
      </c>
    </row>
    <row r="12" spans="2:8" x14ac:dyDescent="0.3">
      <c r="B12" s="46" t="s">
        <v>11</v>
      </c>
      <c r="C12" s="76">
        <v>0.95</v>
      </c>
      <c r="D12" s="76">
        <v>0.84</v>
      </c>
      <c r="E12" s="78">
        <v>0.66800000000000004</v>
      </c>
      <c r="F12" s="44">
        <v>1.0364013545854429</v>
      </c>
      <c r="G12" s="44">
        <v>0.6271631277257127</v>
      </c>
      <c r="H12" s="44">
        <v>0.40093522317496522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7147-83F8-4EA4-B83F-C1C16D1B8081}">
  <dimension ref="B2:X24"/>
  <sheetViews>
    <sheetView tabSelected="1" topLeftCell="C1" workbookViewId="0">
      <selection activeCell="X24" sqref="X24"/>
    </sheetView>
  </sheetViews>
  <sheetFormatPr defaultRowHeight="14.4" x14ac:dyDescent="0.3"/>
  <cols>
    <col min="2" max="2" width="17.77734375" bestFit="1" customWidth="1"/>
    <col min="3" max="5" width="8.21875" customWidth="1"/>
    <col min="6" max="8" width="8.44140625" customWidth="1"/>
    <col min="10" max="10" width="17.77734375" bestFit="1" customWidth="1"/>
    <col min="11" max="13" width="8.21875" customWidth="1"/>
    <col min="14" max="14" width="9.44140625" customWidth="1"/>
    <col min="15" max="15" width="8.44140625" customWidth="1"/>
    <col min="16" max="16" width="7.77734375" customWidth="1"/>
    <col min="18" max="18" width="17.77734375" bestFit="1" customWidth="1"/>
    <col min="19" max="21" width="8.21875" customWidth="1"/>
    <col min="22" max="23" width="8.33203125" customWidth="1"/>
    <col min="24" max="24" width="7.5546875" customWidth="1"/>
  </cols>
  <sheetData>
    <row r="2" spans="2:24" s="2" customFormat="1" x14ac:dyDescent="0.3">
      <c r="B2" s="14" t="s">
        <v>12</v>
      </c>
      <c r="C2" s="14"/>
      <c r="D2" s="14"/>
      <c r="E2" s="14"/>
      <c r="J2" s="14" t="s">
        <v>13</v>
      </c>
      <c r="K2" s="14"/>
      <c r="L2" s="14"/>
      <c r="M2" s="14"/>
      <c r="R2" s="14" t="s">
        <v>14</v>
      </c>
      <c r="S2" s="14"/>
      <c r="T2" s="14"/>
      <c r="U2" s="14"/>
    </row>
    <row r="3" spans="2:24" x14ac:dyDescent="0.3">
      <c r="B3" s="26" t="s">
        <v>2</v>
      </c>
      <c r="C3" s="27">
        <v>2020</v>
      </c>
      <c r="D3" s="27">
        <v>2021</v>
      </c>
      <c r="E3" s="27">
        <v>2022</v>
      </c>
      <c r="F3" s="41">
        <v>2023</v>
      </c>
      <c r="G3" s="27">
        <v>2024</v>
      </c>
      <c r="H3" s="27">
        <v>2025</v>
      </c>
      <c r="J3" s="26" t="s">
        <v>2</v>
      </c>
      <c r="K3" s="27">
        <v>2020</v>
      </c>
      <c r="L3" s="27">
        <v>2021</v>
      </c>
      <c r="M3" s="27">
        <v>2022</v>
      </c>
      <c r="N3" s="41">
        <v>2023</v>
      </c>
      <c r="O3" s="27">
        <v>2024</v>
      </c>
      <c r="P3" s="27">
        <v>2025</v>
      </c>
      <c r="R3" s="26" t="s">
        <v>2</v>
      </c>
      <c r="S3" s="27">
        <v>2020</v>
      </c>
      <c r="T3" s="27">
        <v>2021</v>
      </c>
      <c r="U3" s="27">
        <v>2022</v>
      </c>
      <c r="V3" s="41">
        <v>2023</v>
      </c>
      <c r="W3" s="27">
        <v>2024</v>
      </c>
      <c r="X3" s="27">
        <v>2025</v>
      </c>
    </row>
    <row r="4" spans="2:24" x14ac:dyDescent="0.3">
      <c r="B4" s="45" t="s">
        <v>3</v>
      </c>
      <c r="C4" s="42">
        <v>7.4999999999999997E-2</v>
      </c>
      <c r="D4" s="42">
        <v>7.4999999999999997E-2</v>
      </c>
      <c r="E4" s="42">
        <v>7.4999999999999997E-2</v>
      </c>
      <c r="F4" s="42">
        <v>7.4999999999999997E-2</v>
      </c>
      <c r="G4" s="42">
        <v>7.4999999999999997E-2</v>
      </c>
      <c r="H4" s="66">
        <v>0.18332768407124331</v>
      </c>
      <c r="J4" s="45" t="s">
        <v>3</v>
      </c>
      <c r="K4" s="42">
        <v>7.4999999999999997E-2</v>
      </c>
      <c r="L4" s="42">
        <v>7.4999999999999997E-2</v>
      </c>
      <c r="M4" s="42">
        <v>7.4999999999999997E-2</v>
      </c>
      <c r="N4" s="42">
        <v>7.4999999999999997E-2</v>
      </c>
      <c r="O4" s="42">
        <v>7.4999999999999997E-2</v>
      </c>
      <c r="P4" s="29">
        <v>0.179527900293971</v>
      </c>
      <c r="R4" s="45" t="s">
        <v>3</v>
      </c>
      <c r="S4" s="42">
        <v>7.4999999999999997E-2</v>
      </c>
      <c r="T4" s="42">
        <v>7.4999999999999997E-2</v>
      </c>
      <c r="U4" s="42">
        <v>7.4999999999999997E-2</v>
      </c>
      <c r="V4" s="42">
        <v>7.4999999999999997E-2</v>
      </c>
      <c r="W4" s="42">
        <v>7.4999999999999997E-2</v>
      </c>
      <c r="X4" s="29">
        <v>0.12804714683150181</v>
      </c>
    </row>
    <row r="5" spans="2:24" x14ac:dyDescent="0.3">
      <c r="B5" s="45" t="s">
        <v>4</v>
      </c>
      <c r="C5" s="43">
        <v>7.4999999999999997E-2</v>
      </c>
      <c r="D5" s="43">
        <v>7.4999999999999997E-2</v>
      </c>
      <c r="E5" s="43">
        <v>7.4999999999999997E-2</v>
      </c>
      <c r="F5" s="43">
        <v>7.4999999999999997E-2</v>
      </c>
      <c r="G5" s="43">
        <v>7.4999999999999997E-2</v>
      </c>
      <c r="H5" s="67">
        <v>0.18515203565647051</v>
      </c>
      <c r="J5" s="45" t="s">
        <v>4</v>
      </c>
      <c r="K5" s="43">
        <v>7.4999999999999997E-2</v>
      </c>
      <c r="L5" s="43">
        <v>7.4999999999999997E-2</v>
      </c>
      <c r="M5" s="43">
        <v>7.4999999999999997E-2</v>
      </c>
      <c r="N5" s="43">
        <v>7.4999999999999997E-2</v>
      </c>
      <c r="O5" s="43">
        <v>7.4999999999999997E-2</v>
      </c>
      <c r="P5" s="30">
        <v>0</v>
      </c>
      <c r="R5" s="45" t="s">
        <v>4</v>
      </c>
      <c r="S5" s="43">
        <v>7.4999999999999997E-2</v>
      </c>
      <c r="T5" s="43">
        <v>7.4999999999999997E-2</v>
      </c>
      <c r="U5" s="43">
        <v>7.4999999999999997E-2</v>
      </c>
      <c r="V5" s="43">
        <v>7.4999999999999997E-2</v>
      </c>
      <c r="W5" s="43">
        <v>7.4999999999999997E-2</v>
      </c>
      <c r="X5" s="67">
        <v>0.18515203565647051</v>
      </c>
    </row>
    <row r="6" spans="2:24" x14ac:dyDescent="0.3">
      <c r="B6" s="45" t="s">
        <v>5</v>
      </c>
      <c r="C6" s="43">
        <v>7.4999999999999997E-2</v>
      </c>
      <c r="D6" s="43">
        <v>7.4999999999999997E-2</v>
      </c>
      <c r="E6" s="43">
        <v>7.4999999999999997E-2</v>
      </c>
      <c r="F6" s="43">
        <v>7.4999999999999997E-2</v>
      </c>
      <c r="G6" s="43">
        <v>7.4999999999999997E-2</v>
      </c>
      <c r="H6" s="67">
        <v>0.13292443227280831</v>
      </c>
      <c r="J6" s="45" t="s">
        <v>5</v>
      </c>
      <c r="K6" s="43">
        <v>7.4999999999999997E-2</v>
      </c>
      <c r="L6" s="43">
        <v>7.4999999999999997E-2</v>
      </c>
      <c r="M6" s="43">
        <v>7.4999999999999997E-2</v>
      </c>
      <c r="N6" s="43">
        <v>7.4999999999999997E-2</v>
      </c>
      <c r="O6" s="43">
        <v>7.4999999999999997E-2</v>
      </c>
      <c r="P6" s="30">
        <v>0.10237511541645128</v>
      </c>
      <c r="R6" s="45" t="s">
        <v>5</v>
      </c>
      <c r="S6" s="43">
        <v>7.4999999999999997E-2</v>
      </c>
      <c r="T6" s="43">
        <v>7.4999999999999997E-2</v>
      </c>
      <c r="U6" s="43">
        <v>7.4999999999999997E-2</v>
      </c>
      <c r="V6" s="43">
        <v>7.4999999999999997E-2</v>
      </c>
      <c r="W6" s="43">
        <v>7.4999999999999997E-2</v>
      </c>
      <c r="X6" s="30">
        <v>0.10370760601434453</v>
      </c>
    </row>
    <row r="7" spans="2:24" x14ac:dyDescent="0.3">
      <c r="B7" s="45" t="s">
        <v>6</v>
      </c>
      <c r="C7" s="43">
        <v>7.4999999999999997E-2</v>
      </c>
      <c r="D7" s="43">
        <v>7.4999999999999997E-2</v>
      </c>
      <c r="E7" s="43">
        <v>7.4999999999999997E-2</v>
      </c>
      <c r="F7" s="43">
        <v>7.4999999999999997E-2</v>
      </c>
      <c r="G7" s="43">
        <v>7.4999999999999997E-2</v>
      </c>
      <c r="H7" s="67">
        <v>7.0186259155359906E-2</v>
      </c>
      <c r="J7" s="45" t="s">
        <v>6</v>
      </c>
      <c r="K7" s="43">
        <v>7.4999999999999997E-2</v>
      </c>
      <c r="L7" s="43">
        <v>7.4999999999999997E-2</v>
      </c>
      <c r="M7" s="43">
        <v>7.4999999999999997E-2</v>
      </c>
      <c r="N7" s="43">
        <v>7.4999999999999997E-2</v>
      </c>
      <c r="O7" s="43">
        <v>7.4999999999999997E-2</v>
      </c>
      <c r="P7" s="30">
        <v>0.11681974206147726</v>
      </c>
      <c r="R7" s="45" t="s">
        <v>6</v>
      </c>
      <c r="S7" s="43">
        <v>7.4999999999999997E-2</v>
      </c>
      <c r="T7" s="43">
        <v>7.4999999999999997E-2</v>
      </c>
      <c r="U7" s="43">
        <v>7.4999999999999997E-2</v>
      </c>
      <c r="V7" s="43">
        <v>7.4999999999999997E-2</v>
      </c>
      <c r="W7" s="43">
        <v>7.4999999999999997E-2</v>
      </c>
      <c r="X7" s="30">
        <v>6.5686102659423262E-2</v>
      </c>
    </row>
    <row r="8" spans="2:24" x14ac:dyDescent="0.3">
      <c r="B8" s="45" t="s">
        <v>8</v>
      </c>
      <c r="C8" s="43">
        <v>7.4999999999999997E-2</v>
      </c>
      <c r="D8" s="43">
        <v>7.4999999999999997E-2</v>
      </c>
      <c r="E8" s="43">
        <v>7.4999999999999997E-2</v>
      </c>
      <c r="F8" s="43">
        <v>7.4999999999999997E-2</v>
      </c>
      <c r="G8" s="43">
        <v>7.4999999999999997E-2</v>
      </c>
      <c r="H8" s="67">
        <v>0.13292443227280831</v>
      </c>
      <c r="J8" s="45" t="s">
        <v>8</v>
      </c>
      <c r="K8" s="43">
        <v>7.4999999999999997E-2</v>
      </c>
      <c r="L8" s="43">
        <v>7.4999999999999997E-2</v>
      </c>
      <c r="M8" s="43">
        <v>7.4999999999999997E-2</v>
      </c>
      <c r="N8" s="43">
        <v>7.4999999999999997E-2</v>
      </c>
      <c r="O8" s="43">
        <v>7.4999999999999997E-2</v>
      </c>
      <c r="P8" s="30">
        <v>0.10237511541645128</v>
      </c>
      <c r="R8" s="45" t="s">
        <v>8</v>
      </c>
      <c r="S8" s="43">
        <v>7.4999999999999997E-2</v>
      </c>
      <c r="T8" s="43">
        <v>7.4999999999999997E-2</v>
      </c>
      <c r="U8" s="43">
        <v>7.4999999999999997E-2</v>
      </c>
      <c r="V8" s="43">
        <v>7.4999999999999997E-2</v>
      </c>
      <c r="W8" s="43">
        <v>7.4999999999999997E-2</v>
      </c>
      <c r="X8" s="30">
        <v>0.10370760601434453</v>
      </c>
    </row>
    <row r="9" spans="2:24" x14ac:dyDescent="0.3">
      <c r="B9" s="45" t="s">
        <v>7</v>
      </c>
      <c r="C9" s="43">
        <v>7.4999999999999997E-2</v>
      </c>
      <c r="D9" s="43">
        <v>7.4999999999999997E-2</v>
      </c>
      <c r="E9" s="43">
        <v>7.4999999999999997E-2</v>
      </c>
      <c r="F9" s="43">
        <v>7.4999999999999997E-2</v>
      </c>
      <c r="G9" s="43">
        <v>7.4999999999999997E-2</v>
      </c>
      <c r="H9" s="67">
        <v>0.13292443227280831</v>
      </c>
      <c r="J9" s="45" t="s">
        <v>7</v>
      </c>
      <c r="K9" s="43">
        <v>7.4999999999999997E-2</v>
      </c>
      <c r="L9" s="43">
        <v>7.4999999999999997E-2</v>
      </c>
      <c r="M9" s="43">
        <v>7.4999999999999997E-2</v>
      </c>
      <c r="N9" s="43">
        <v>7.4999999999999997E-2</v>
      </c>
      <c r="O9" s="43">
        <v>7.4999999999999997E-2</v>
      </c>
      <c r="P9" s="30">
        <v>0.10237511541645128</v>
      </c>
      <c r="R9" s="45" t="s">
        <v>7</v>
      </c>
      <c r="S9" s="43">
        <v>7.4999999999999997E-2</v>
      </c>
      <c r="T9" s="43">
        <v>7.4999999999999997E-2</v>
      </c>
      <c r="U9" s="43">
        <v>7.4999999999999997E-2</v>
      </c>
      <c r="V9" s="43">
        <v>7.4999999999999997E-2</v>
      </c>
      <c r="W9" s="43">
        <v>7.4999999999999997E-2</v>
      </c>
      <c r="X9" s="30">
        <v>0.10370760601434453</v>
      </c>
    </row>
    <row r="10" spans="2:24" x14ac:dyDescent="0.3">
      <c r="B10" s="45" t="s">
        <v>9</v>
      </c>
      <c r="C10" s="43">
        <v>7.4999999999999997E-2</v>
      </c>
      <c r="D10" s="43">
        <v>7.4999999999999997E-2</v>
      </c>
      <c r="E10" s="43">
        <v>7.4999999999999997E-2</v>
      </c>
      <c r="F10" s="43">
        <v>7.4999999999999997E-2</v>
      </c>
      <c r="G10" s="43">
        <v>7.4999999999999997E-2</v>
      </c>
      <c r="H10" s="67">
        <v>0.13292443227280831</v>
      </c>
      <c r="J10" s="45" t="s">
        <v>9</v>
      </c>
      <c r="K10" s="43">
        <v>7.4999999999999997E-2</v>
      </c>
      <c r="L10" s="43">
        <v>7.4999999999999997E-2</v>
      </c>
      <c r="M10" s="43">
        <v>7.4999999999999997E-2</v>
      </c>
      <c r="N10" s="43">
        <v>7.4999999999999997E-2</v>
      </c>
      <c r="O10" s="43">
        <v>7.4999999999999997E-2</v>
      </c>
      <c r="P10" s="30">
        <v>0.10237511541645128</v>
      </c>
      <c r="R10" s="45" t="s">
        <v>9</v>
      </c>
      <c r="S10" s="43">
        <v>7.4999999999999997E-2</v>
      </c>
      <c r="T10" s="43">
        <v>7.4999999999999997E-2</v>
      </c>
      <c r="U10" s="43">
        <v>7.4999999999999997E-2</v>
      </c>
      <c r="V10" s="43">
        <v>7.4999999999999997E-2</v>
      </c>
      <c r="W10" s="43">
        <v>7.4999999999999997E-2</v>
      </c>
      <c r="X10" s="30">
        <v>0.10370760601434453</v>
      </c>
    </row>
    <row r="11" spans="2:24" x14ac:dyDescent="0.3">
      <c r="B11" s="45" t="s">
        <v>178</v>
      </c>
      <c r="C11" s="43"/>
      <c r="D11" s="43"/>
      <c r="E11" s="43"/>
      <c r="F11" s="43"/>
      <c r="G11" s="43"/>
      <c r="H11" s="67"/>
      <c r="J11" s="45" t="s">
        <v>178</v>
      </c>
      <c r="K11" s="43"/>
      <c r="L11" s="43"/>
      <c r="M11" s="43"/>
      <c r="N11" s="43"/>
      <c r="O11" s="43"/>
      <c r="P11" s="30"/>
      <c r="R11" s="45" t="s">
        <v>178</v>
      </c>
      <c r="S11" s="43"/>
      <c r="T11" s="43"/>
      <c r="U11" s="43"/>
      <c r="V11" s="43"/>
      <c r="W11" s="43"/>
      <c r="X11" s="30"/>
    </row>
    <row r="12" spans="2:24" x14ac:dyDescent="0.3">
      <c r="B12" s="46" t="s">
        <v>11</v>
      </c>
      <c r="C12" s="44">
        <v>7.4999999999999997E-2</v>
      </c>
      <c r="D12" s="44">
        <v>7.4999999999999997E-2</v>
      </c>
      <c r="E12" s="44">
        <v>7.4999999999999997E-2</v>
      </c>
      <c r="F12" s="44">
        <v>7.4999999999999997E-2</v>
      </c>
      <c r="G12" s="44">
        <v>7.4999999999999997E-2</v>
      </c>
      <c r="H12" s="68">
        <v>0.15444202269867557</v>
      </c>
      <c r="J12" s="46" t="s">
        <v>11</v>
      </c>
      <c r="K12" s="44">
        <v>7.4999999999999997E-2</v>
      </c>
      <c r="L12" s="44">
        <v>7.4999999999999997E-2</v>
      </c>
      <c r="M12" s="44">
        <v>7.4999999999999997E-2</v>
      </c>
      <c r="N12" s="44">
        <v>7.4999999999999997E-2</v>
      </c>
      <c r="O12" s="44">
        <v>7.4999999999999997E-2</v>
      </c>
      <c r="P12" s="33">
        <v>0</v>
      </c>
      <c r="R12" s="46" t="s">
        <v>11</v>
      </c>
      <c r="S12" s="44">
        <v>7.4999999999999997E-2</v>
      </c>
      <c r="T12" s="44">
        <v>7.4999999999999997E-2</v>
      </c>
      <c r="U12" s="44">
        <v>7.4999999999999997E-2</v>
      </c>
      <c r="V12" s="44">
        <v>7.4999999999999997E-2</v>
      </c>
      <c r="W12" s="44">
        <v>7.4999999999999997E-2</v>
      </c>
      <c r="X12" s="68">
        <v>0.15444202269867557</v>
      </c>
    </row>
    <row r="14" spans="2:24" s="2" customFormat="1" x14ac:dyDescent="0.3">
      <c r="B14" s="14" t="s">
        <v>15</v>
      </c>
      <c r="C14" s="14"/>
      <c r="D14" s="14"/>
      <c r="E14" s="14"/>
      <c r="J14" s="14" t="s">
        <v>17</v>
      </c>
      <c r="K14" s="14"/>
      <c r="L14" s="14"/>
      <c r="M14" s="14"/>
      <c r="R14" s="14" t="s">
        <v>16</v>
      </c>
      <c r="S14" s="14"/>
      <c r="T14" s="14"/>
      <c r="U14" s="14"/>
    </row>
    <row r="15" spans="2:24" x14ac:dyDescent="0.3">
      <c r="B15" s="26" t="s">
        <v>2</v>
      </c>
      <c r="C15" s="27">
        <v>2020</v>
      </c>
      <c r="D15" s="27">
        <v>2021</v>
      </c>
      <c r="E15" s="27">
        <v>2022</v>
      </c>
      <c r="F15" s="41">
        <v>2023</v>
      </c>
      <c r="G15" s="27">
        <v>2024</v>
      </c>
      <c r="H15" s="27">
        <v>2025</v>
      </c>
      <c r="J15" s="26" t="s">
        <v>2</v>
      </c>
      <c r="K15" s="27">
        <v>2020</v>
      </c>
      <c r="L15" s="27">
        <v>2021</v>
      </c>
      <c r="M15" s="27">
        <v>2022</v>
      </c>
      <c r="N15" s="41">
        <v>2023</v>
      </c>
      <c r="O15" s="27">
        <v>2024</v>
      </c>
      <c r="P15" s="27">
        <v>2025</v>
      </c>
      <c r="R15" s="26" t="s">
        <v>2</v>
      </c>
      <c r="S15" s="27">
        <v>2020</v>
      </c>
      <c r="T15" s="27">
        <v>2021</v>
      </c>
      <c r="U15" s="27">
        <v>2022</v>
      </c>
      <c r="V15" s="41">
        <v>2023</v>
      </c>
      <c r="W15" s="27">
        <v>2024</v>
      </c>
      <c r="X15" s="27">
        <v>2025</v>
      </c>
    </row>
    <row r="16" spans="2:24" x14ac:dyDescent="0.3">
      <c r="B16" s="45" t="s">
        <v>3</v>
      </c>
      <c r="C16" s="42">
        <v>9.5000000000000001E-2</v>
      </c>
      <c r="D16" s="42">
        <v>9.5000000000000001E-2</v>
      </c>
      <c r="E16" s="42">
        <v>9.5000000000000001E-2</v>
      </c>
      <c r="F16" s="42">
        <v>9.5000000000000001E-2</v>
      </c>
      <c r="G16" s="42">
        <v>9.5000000000000001E-2</v>
      </c>
      <c r="H16" s="29">
        <v>0.52685887871054016</v>
      </c>
      <c r="J16" s="45" t="s">
        <v>3</v>
      </c>
      <c r="K16" s="42">
        <v>9.5000000000000001E-2</v>
      </c>
      <c r="L16" s="42">
        <v>9.5000000000000001E-2</v>
      </c>
      <c r="M16" s="42">
        <v>9.5000000000000001E-2</v>
      </c>
      <c r="N16" s="42">
        <v>9.5000000000000001E-2</v>
      </c>
      <c r="O16" s="42">
        <v>9.5000000000000001E-2</v>
      </c>
      <c r="P16" s="29">
        <v>0.51093496954852891</v>
      </c>
      <c r="R16" s="45" t="s">
        <v>3</v>
      </c>
      <c r="S16" s="42">
        <v>9.5000000000000001E-2</v>
      </c>
      <c r="T16" s="42">
        <v>9.5000000000000001E-2</v>
      </c>
      <c r="U16" s="42">
        <v>9.5000000000000001E-2</v>
      </c>
      <c r="V16" s="42">
        <v>9.5000000000000001E-2</v>
      </c>
      <c r="W16" s="42">
        <v>9.5000000000000001E-2</v>
      </c>
      <c r="X16" s="29">
        <v>0.35452325293996878</v>
      </c>
    </row>
    <row r="17" spans="2:24" x14ac:dyDescent="0.3">
      <c r="B17" s="45" t="s">
        <v>4</v>
      </c>
      <c r="C17" s="43">
        <v>9.5000000000000001E-2</v>
      </c>
      <c r="D17" s="43">
        <v>9.5000000000000001E-2</v>
      </c>
      <c r="E17" s="43">
        <v>9.5000000000000001E-2</v>
      </c>
      <c r="F17" s="43">
        <v>9.5000000000000001E-2</v>
      </c>
      <c r="G17" s="43">
        <v>9.5000000000000001E-2</v>
      </c>
      <c r="H17" s="30">
        <v>0.56626856142091087</v>
      </c>
      <c r="J17" s="45" t="s">
        <v>4</v>
      </c>
      <c r="K17" s="43">
        <v>9.5000000000000001E-2</v>
      </c>
      <c r="L17" s="43">
        <v>9.5000000000000001E-2</v>
      </c>
      <c r="M17" s="43">
        <v>9.5000000000000001E-2</v>
      </c>
      <c r="N17" s="43">
        <v>9.5000000000000001E-2</v>
      </c>
      <c r="O17" s="43">
        <v>9.5000000000000001E-2</v>
      </c>
      <c r="P17" s="30">
        <v>0</v>
      </c>
      <c r="R17" s="45" t="s">
        <v>4</v>
      </c>
      <c r="S17" s="43">
        <v>9.5000000000000001E-2</v>
      </c>
      <c r="T17" s="43">
        <v>9.5000000000000001E-2</v>
      </c>
      <c r="U17" s="43">
        <v>9.5000000000000001E-2</v>
      </c>
      <c r="V17" s="43">
        <v>9.5000000000000001E-2</v>
      </c>
      <c r="W17" s="43">
        <v>9.5000000000000001E-2</v>
      </c>
      <c r="X17" s="30">
        <v>0.56626856142091087</v>
      </c>
    </row>
    <row r="18" spans="2:24" x14ac:dyDescent="0.3">
      <c r="B18" s="45" t="s">
        <v>5</v>
      </c>
      <c r="C18" s="43">
        <v>9.5000000000000001E-2</v>
      </c>
      <c r="D18" s="43">
        <v>9.5000000000000001E-2</v>
      </c>
      <c r="E18" s="43">
        <v>9.5000000000000001E-2</v>
      </c>
      <c r="F18" s="43">
        <v>9.5000000000000001E-2</v>
      </c>
      <c r="G18" s="43">
        <v>9.5000000000000001E-2</v>
      </c>
      <c r="H18" s="30">
        <v>0.34894573399266493</v>
      </c>
      <c r="J18" s="45" t="s">
        <v>5</v>
      </c>
      <c r="K18" s="43">
        <v>9.5000000000000001E-2</v>
      </c>
      <c r="L18" s="43">
        <v>9.5000000000000001E-2</v>
      </c>
      <c r="M18" s="43">
        <v>9.5000000000000001E-2</v>
      </c>
      <c r="N18" s="43">
        <v>9.5000000000000001E-2</v>
      </c>
      <c r="O18" s="43">
        <v>9.5000000000000001E-2</v>
      </c>
      <c r="P18" s="30">
        <v>0.26902144520066118</v>
      </c>
      <c r="R18" s="45" t="s">
        <v>5</v>
      </c>
      <c r="S18" s="43">
        <v>9.5000000000000001E-2</v>
      </c>
      <c r="T18" s="43">
        <v>9.5000000000000001E-2</v>
      </c>
      <c r="U18" s="43">
        <v>9.5000000000000001E-2</v>
      </c>
      <c r="V18" s="43">
        <v>9.5000000000000001E-2</v>
      </c>
      <c r="W18" s="43">
        <v>9.5000000000000001E-2</v>
      </c>
      <c r="X18" s="30">
        <v>0.30929096911825432</v>
      </c>
    </row>
    <row r="19" spans="2:24" x14ac:dyDescent="0.3">
      <c r="B19" s="45" t="s">
        <v>6</v>
      </c>
      <c r="C19" s="43">
        <v>9.5000000000000001E-2</v>
      </c>
      <c r="D19" s="43">
        <v>9.5000000000000001E-2</v>
      </c>
      <c r="E19" s="43">
        <v>9.5000000000000001E-2</v>
      </c>
      <c r="F19" s="43">
        <v>9.5000000000000001E-2</v>
      </c>
      <c r="G19" s="43">
        <v>9.5000000000000001E-2</v>
      </c>
      <c r="H19" s="30">
        <v>0.1931732971736714</v>
      </c>
      <c r="J19" s="45" t="s">
        <v>6</v>
      </c>
      <c r="K19" s="43">
        <v>9.5000000000000001E-2</v>
      </c>
      <c r="L19" s="43">
        <v>9.5000000000000001E-2</v>
      </c>
      <c r="M19" s="43">
        <v>9.5000000000000001E-2</v>
      </c>
      <c r="N19" s="43">
        <v>9.5000000000000001E-2</v>
      </c>
      <c r="O19" s="43">
        <v>9.5000000000000001E-2</v>
      </c>
      <c r="P19" s="30">
        <v>0.33022113357637439</v>
      </c>
      <c r="R19" s="45" t="s">
        <v>6</v>
      </c>
      <c r="S19" s="43">
        <v>9.5000000000000001E-2</v>
      </c>
      <c r="T19" s="43">
        <v>9.5000000000000001E-2</v>
      </c>
      <c r="U19" s="43">
        <v>9.5000000000000001E-2</v>
      </c>
      <c r="V19" s="43">
        <v>9.5000000000000001E-2</v>
      </c>
      <c r="W19" s="43">
        <v>9.5000000000000001E-2</v>
      </c>
      <c r="X19" s="30">
        <v>0.19699391458459542</v>
      </c>
    </row>
    <row r="20" spans="2:24" x14ac:dyDescent="0.3">
      <c r="B20" s="45" t="s">
        <v>8</v>
      </c>
      <c r="C20" s="43">
        <v>9.5000000000000001E-2</v>
      </c>
      <c r="D20" s="43">
        <v>9.5000000000000001E-2</v>
      </c>
      <c r="E20" s="43">
        <v>9.5000000000000001E-2</v>
      </c>
      <c r="F20" s="43">
        <v>9.5000000000000001E-2</v>
      </c>
      <c r="G20" s="43">
        <v>9.5000000000000001E-2</v>
      </c>
      <c r="H20" s="30">
        <v>0.34894573399266493</v>
      </c>
      <c r="J20" s="45" t="s">
        <v>8</v>
      </c>
      <c r="K20" s="43">
        <v>9.5000000000000001E-2</v>
      </c>
      <c r="L20" s="43">
        <v>9.5000000000000001E-2</v>
      </c>
      <c r="M20" s="43">
        <v>9.5000000000000001E-2</v>
      </c>
      <c r="N20" s="43">
        <v>9.5000000000000001E-2</v>
      </c>
      <c r="O20" s="43">
        <v>9.5000000000000001E-2</v>
      </c>
      <c r="P20" s="30">
        <v>0.26902144520066118</v>
      </c>
      <c r="R20" s="45" t="s">
        <v>8</v>
      </c>
      <c r="S20" s="43">
        <v>9.5000000000000001E-2</v>
      </c>
      <c r="T20" s="43">
        <v>9.5000000000000001E-2</v>
      </c>
      <c r="U20" s="43">
        <v>9.5000000000000001E-2</v>
      </c>
      <c r="V20" s="43">
        <v>9.5000000000000001E-2</v>
      </c>
      <c r="W20" s="43">
        <v>9.5000000000000001E-2</v>
      </c>
      <c r="X20" s="30">
        <v>0.30929096911825432</v>
      </c>
    </row>
    <row r="21" spans="2:24" x14ac:dyDescent="0.3">
      <c r="B21" s="45" t="s">
        <v>7</v>
      </c>
      <c r="C21" s="43">
        <v>9.5000000000000001E-2</v>
      </c>
      <c r="D21" s="43">
        <v>9.5000000000000001E-2</v>
      </c>
      <c r="E21" s="43">
        <v>9.5000000000000001E-2</v>
      </c>
      <c r="F21" s="43">
        <v>9.5000000000000001E-2</v>
      </c>
      <c r="G21" s="43">
        <v>9.5000000000000001E-2</v>
      </c>
      <c r="H21" s="30">
        <v>0.34894573399266493</v>
      </c>
      <c r="J21" s="45" t="s">
        <v>7</v>
      </c>
      <c r="K21" s="43">
        <v>9.5000000000000001E-2</v>
      </c>
      <c r="L21" s="43">
        <v>9.5000000000000001E-2</v>
      </c>
      <c r="M21" s="43">
        <v>9.5000000000000001E-2</v>
      </c>
      <c r="N21" s="43">
        <v>9.5000000000000001E-2</v>
      </c>
      <c r="O21" s="43">
        <v>9.5000000000000001E-2</v>
      </c>
      <c r="P21" s="30">
        <v>0.26902144520066118</v>
      </c>
      <c r="R21" s="45" t="s">
        <v>7</v>
      </c>
      <c r="S21" s="43">
        <v>9.5000000000000001E-2</v>
      </c>
      <c r="T21" s="43">
        <v>9.5000000000000001E-2</v>
      </c>
      <c r="U21" s="43">
        <v>9.5000000000000001E-2</v>
      </c>
      <c r="V21" s="43">
        <v>9.5000000000000001E-2</v>
      </c>
      <c r="W21" s="43">
        <v>9.5000000000000001E-2</v>
      </c>
      <c r="X21" s="30">
        <v>0.30929096911825432</v>
      </c>
    </row>
    <row r="22" spans="2:24" x14ac:dyDescent="0.3">
      <c r="B22" s="45" t="s">
        <v>9</v>
      </c>
      <c r="C22" s="43">
        <v>9.5000000000000001E-2</v>
      </c>
      <c r="D22" s="43">
        <v>9.5000000000000001E-2</v>
      </c>
      <c r="E22" s="43">
        <v>9.5000000000000001E-2</v>
      </c>
      <c r="F22" s="43">
        <v>9.5000000000000001E-2</v>
      </c>
      <c r="G22" s="43">
        <v>9.5000000000000001E-2</v>
      </c>
      <c r="H22" s="30">
        <v>0.34894573399266493</v>
      </c>
      <c r="J22" s="45" t="s">
        <v>9</v>
      </c>
      <c r="K22" s="43">
        <v>9.5000000000000001E-2</v>
      </c>
      <c r="L22" s="43">
        <v>9.5000000000000001E-2</v>
      </c>
      <c r="M22" s="43">
        <v>9.5000000000000001E-2</v>
      </c>
      <c r="N22" s="43">
        <v>9.5000000000000001E-2</v>
      </c>
      <c r="O22" s="43">
        <v>9.5000000000000001E-2</v>
      </c>
      <c r="P22" s="30">
        <v>0.26902144520066118</v>
      </c>
      <c r="R22" s="45" t="s">
        <v>9</v>
      </c>
      <c r="S22" s="43">
        <v>9.5000000000000001E-2</v>
      </c>
      <c r="T22" s="43">
        <v>9.5000000000000001E-2</v>
      </c>
      <c r="U22" s="43">
        <v>9.5000000000000001E-2</v>
      </c>
      <c r="V22" s="43">
        <v>9.5000000000000001E-2</v>
      </c>
      <c r="W22" s="43">
        <v>9.5000000000000001E-2</v>
      </c>
      <c r="X22" s="30">
        <v>0.30929096911825432</v>
      </c>
    </row>
    <row r="23" spans="2:24" x14ac:dyDescent="0.3">
      <c r="B23" s="45" t="s">
        <v>178</v>
      </c>
      <c r="C23" s="43"/>
      <c r="D23" s="43"/>
      <c r="E23" s="43"/>
      <c r="F23" s="43"/>
      <c r="G23" s="43"/>
      <c r="H23" s="30"/>
      <c r="J23" s="45" t="s">
        <v>178</v>
      </c>
      <c r="K23" s="43"/>
      <c r="L23" s="43"/>
      <c r="M23" s="43"/>
      <c r="N23" s="43"/>
      <c r="O23" s="43"/>
      <c r="P23" s="30"/>
      <c r="R23" s="45" t="s">
        <v>178</v>
      </c>
      <c r="S23" s="43"/>
      <c r="T23" s="43"/>
      <c r="U23" s="43"/>
      <c r="V23" s="43"/>
      <c r="W23" s="43"/>
      <c r="X23" s="30"/>
    </row>
    <row r="24" spans="2:24" x14ac:dyDescent="0.3">
      <c r="B24" s="46" t="s">
        <v>11</v>
      </c>
      <c r="C24" s="44">
        <v>9.5000000000000001E-2</v>
      </c>
      <c r="D24" s="44">
        <v>9.5000000000000001E-2</v>
      </c>
      <c r="E24" s="44">
        <v>9.5000000000000001E-2</v>
      </c>
      <c r="F24" s="44">
        <v>9.5000000000000001E-2</v>
      </c>
      <c r="G24" s="44">
        <v>9.5000000000000001E-2</v>
      </c>
      <c r="H24" s="33">
        <v>0.42386137683659258</v>
      </c>
      <c r="J24" s="46" t="s">
        <v>11</v>
      </c>
      <c r="K24" s="44">
        <v>9.5000000000000001E-2</v>
      </c>
      <c r="L24" s="44">
        <v>9.5000000000000001E-2</v>
      </c>
      <c r="M24" s="44">
        <v>9.5000000000000001E-2</v>
      </c>
      <c r="N24" s="44">
        <v>9.5000000000000001E-2</v>
      </c>
      <c r="O24" s="44">
        <v>9.5000000000000001E-2</v>
      </c>
      <c r="P24" s="33">
        <v>0</v>
      </c>
      <c r="R24" s="46" t="s">
        <v>11</v>
      </c>
      <c r="S24" s="44">
        <v>9.5000000000000001E-2</v>
      </c>
      <c r="T24" s="44">
        <v>9.5000000000000001E-2</v>
      </c>
      <c r="U24" s="44">
        <v>9.5000000000000001E-2</v>
      </c>
      <c r="V24" s="44">
        <v>9.5000000000000001E-2</v>
      </c>
      <c r="W24" s="44">
        <v>9.5000000000000001E-2</v>
      </c>
      <c r="X24" s="33">
        <v>0.42386137683659258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B783-FB85-401F-9123-0770B765208F}">
  <dimension ref="B3:H13"/>
  <sheetViews>
    <sheetView workbookViewId="0">
      <selection activeCell="D15" sqref="D15"/>
    </sheetView>
  </sheetViews>
  <sheetFormatPr defaultRowHeight="14.4" x14ac:dyDescent="0.3"/>
  <cols>
    <col min="2" max="2" width="17.77734375" bestFit="1" customWidth="1"/>
    <col min="3" max="5" width="9.77734375" customWidth="1"/>
    <col min="6" max="8" width="9.33203125" customWidth="1"/>
  </cols>
  <sheetData>
    <row r="3" spans="2:8" x14ac:dyDescent="0.3">
      <c r="B3" s="14" t="s">
        <v>18</v>
      </c>
      <c r="C3" s="14"/>
      <c r="D3" s="14"/>
      <c r="E3" s="14"/>
      <c r="F3" s="2"/>
      <c r="G3" s="2"/>
      <c r="H3" s="2"/>
    </row>
    <row r="4" spans="2:8" x14ac:dyDescent="0.3">
      <c r="B4" s="26" t="s">
        <v>2</v>
      </c>
      <c r="C4" s="27">
        <v>2020</v>
      </c>
      <c r="D4" s="27">
        <v>2021</v>
      </c>
      <c r="E4" s="27">
        <v>2022</v>
      </c>
      <c r="F4" s="41">
        <v>2023</v>
      </c>
      <c r="G4" s="27">
        <v>2024</v>
      </c>
      <c r="H4" s="27">
        <v>2025</v>
      </c>
    </row>
    <row r="5" spans="2:8" x14ac:dyDescent="0.3">
      <c r="B5" s="45" t="s">
        <v>3</v>
      </c>
      <c r="C5" s="42">
        <v>0</v>
      </c>
      <c r="D5" s="42">
        <v>0</v>
      </c>
      <c r="E5" s="42">
        <v>0</v>
      </c>
      <c r="F5" s="42">
        <v>0</v>
      </c>
      <c r="G5" s="42">
        <v>0</v>
      </c>
      <c r="H5" s="42">
        <v>2.5000000000000001E-2</v>
      </c>
    </row>
    <row r="6" spans="2:8" x14ac:dyDescent="0.3">
      <c r="B6" s="45" t="s">
        <v>4</v>
      </c>
      <c r="C6" s="43">
        <v>0</v>
      </c>
      <c r="D6" s="43">
        <v>0</v>
      </c>
      <c r="E6" s="43">
        <v>0</v>
      </c>
      <c r="F6" s="43">
        <v>0</v>
      </c>
      <c r="G6" s="43">
        <v>0</v>
      </c>
      <c r="H6" s="43">
        <v>2.5000000000000001E-2</v>
      </c>
    </row>
    <row r="7" spans="2:8" x14ac:dyDescent="0.3">
      <c r="B7" s="45" t="s">
        <v>5</v>
      </c>
      <c r="C7" s="43">
        <v>0</v>
      </c>
      <c r="D7" s="43">
        <v>0</v>
      </c>
      <c r="E7" s="43">
        <v>0</v>
      </c>
      <c r="F7" s="43">
        <v>0</v>
      </c>
      <c r="G7" s="43">
        <v>0</v>
      </c>
      <c r="H7" s="43">
        <v>2.5000000000000001E-2</v>
      </c>
    </row>
    <row r="8" spans="2:8" x14ac:dyDescent="0.3">
      <c r="B8" s="45" t="s">
        <v>6</v>
      </c>
      <c r="C8" s="43">
        <v>0</v>
      </c>
      <c r="D8" s="43">
        <v>0</v>
      </c>
      <c r="E8" s="43">
        <v>0</v>
      </c>
      <c r="F8" s="43">
        <v>0</v>
      </c>
      <c r="G8" s="43">
        <v>0</v>
      </c>
      <c r="H8" s="43">
        <v>2.5000000000000001E-2</v>
      </c>
    </row>
    <row r="9" spans="2:8" x14ac:dyDescent="0.3">
      <c r="B9" s="45" t="s">
        <v>8</v>
      </c>
      <c r="C9" s="43">
        <v>0</v>
      </c>
      <c r="D9" s="43">
        <v>0</v>
      </c>
      <c r="E9" s="43">
        <v>0</v>
      </c>
      <c r="F9" s="43">
        <v>0</v>
      </c>
      <c r="G9" s="43">
        <v>0</v>
      </c>
      <c r="H9" s="43">
        <v>2.5000000000000001E-2</v>
      </c>
    </row>
    <row r="10" spans="2:8" x14ac:dyDescent="0.3">
      <c r="B10" s="45" t="s">
        <v>7</v>
      </c>
      <c r="C10" s="43">
        <v>0</v>
      </c>
      <c r="D10" s="43">
        <v>0</v>
      </c>
      <c r="E10" s="43">
        <v>0</v>
      </c>
      <c r="F10" s="43">
        <v>0</v>
      </c>
      <c r="G10" s="43">
        <v>0</v>
      </c>
      <c r="H10" s="43">
        <v>2.5000000000000001E-2</v>
      </c>
    </row>
    <row r="11" spans="2:8" x14ac:dyDescent="0.3">
      <c r="B11" s="45" t="s">
        <v>9</v>
      </c>
      <c r="C11" s="43">
        <v>0</v>
      </c>
      <c r="D11" s="43">
        <v>0</v>
      </c>
      <c r="E11" s="43">
        <v>0</v>
      </c>
      <c r="F11" s="43">
        <v>0</v>
      </c>
      <c r="G11" s="43">
        <v>0</v>
      </c>
      <c r="H11" s="43">
        <v>2.5000000000000001E-2</v>
      </c>
    </row>
    <row r="12" spans="2:8" x14ac:dyDescent="0.3">
      <c r="B12" s="45" t="s">
        <v>10</v>
      </c>
      <c r="C12" s="43">
        <v>0</v>
      </c>
      <c r="D12" s="43">
        <v>0</v>
      </c>
      <c r="E12" s="43">
        <v>0</v>
      </c>
      <c r="F12" s="43">
        <v>0</v>
      </c>
      <c r="G12" s="43">
        <v>0</v>
      </c>
      <c r="H12" s="43">
        <v>2.5000000000000001E-2</v>
      </c>
    </row>
    <row r="13" spans="2:8" x14ac:dyDescent="0.3">
      <c r="B13" s="46" t="s">
        <v>11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2.5000000000000001E-2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7A5F-3BB7-4B68-A134-4C9D0FA4FB59}">
  <dimension ref="B1:CS33"/>
  <sheetViews>
    <sheetView workbookViewId="0">
      <selection activeCell="O4" sqref="O4"/>
    </sheetView>
  </sheetViews>
  <sheetFormatPr defaultRowHeight="14.4" x14ac:dyDescent="0.3"/>
  <cols>
    <col min="2" max="2" width="8.88671875" bestFit="1" customWidth="1"/>
    <col min="3" max="11" width="9.44140625" bestFit="1" customWidth="1"/>
    <col min="12" max="14" width="10.44140625" bestFit="1" customWidth="1"/>
    <col min="15" max="16" width="8.88671875" bestFit="1" customWidth="1"/>
    <col min="18" max="18" width="8.88671875" bestFit="1" customWidth="1"/>
    <col min="19" max="27" width="9.44140625" bestFit="1" customWidth="1"/>
    <col min="28" max="30" width="10.44140625" bestFit="1" customWidth="1"/>
    <col min="31" max="32" width="8.88671875" bestFit="1" customWidth="1"/>
    <col min="34" max="34" width="8.88671875" bestFit="1" customWidth="1"/>
    <col min="35" max="43" width="9.44140625" bestFit="1" customWidth="1"/>
    <col min="44" max="46" width="10.44140625" bestFit="1" customWidth="1"/>
    <col min="47" max="48" width="8.88671875" bestFit="1" customWidth="1"/>
    <col min="51" max="51" width="8.88671875" bestFit="1" customWidth="1"/>
    <col min="52" max="60" width="9.44140625" bestFit="1" customWidth="1"/>
    <col min="61" max="63" width="10.44140625" bestFit="1" customWidth="1"/>
    <col min="64" max="65" width="8.88671875" bestFit="1" customWidth="1"/>
    <col min="67" max="67" width="8.88671875" bestFit="1" customWidth="1"/>
    <col min="68" max="76" width="9.44140625" bestFit="1" customWidth="1"/>
    <col min="77" max="79" width="10.44140625" bestFit="1" customWidth="1"/>
    <col min="80" max="81" width="8.88671875" bestFit="1" customWidth="1"/>
    <col min="83" max="83" width="8.88671875" bestFit="1" customWidth="1"/>
    <col min="84" max="92" width="9.44140625" bestFit="1" customWidth="1"/>
    <col min="93" max="95" width="10.44140625" bestFit="1" customWidth="1"/>
    <col min="96" max="97" width="8.88671875" bestFit="1" customWidth="1"/>
  </cols>
  <sheetData>
    <row r="1" spans="2:97" s="2" customFormat="1" x14ac:dyDescent="0.3">
      <c r="B1" s="14" t="s">
        <v>182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R1" s="14" t="s">
        <v>181</v>
      </c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H1" s="14" t="s">
        <v>179</v>
      </c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Y1" s="14" t="s">
        <v>140</v>
      </c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O1" s="14" t="s">
        <v>141</v>
      </c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E1" s="14" t="s">
        <v>142</v>
      </c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</row>
    <row r="2" spans="2:97" x14ac:dyDescent="0.3">
      <c r="B2" s="34" t="s">
        <v>137</v>
      </c>
      <c r="C2" s="35">
        <v>43861</v>
      </c>
      <c r="D2" s="35">
        <v>43889</v>
      </c>
      <c r="E2" s="35">
        <v>43921</v>
      </c>
      <c r="F2" s="35">
        <v>43951</v>
      </c>
      <c r="G2" s="35">
        <v>43982</v>
      </c>
      <c r="H2" s="35">
        <v>44012</v>
      </c>
      <c r="I2" s="35">
        <v>44043</v>
      </c>
      <c r="J2" s="35">
        <v>44074</v>
      </c>
      <c r="K2" s="35">
        <v>44104</v>
      </c>
      <c r="L2" s="35">
        <v>44135</v>
      </c>
      <c r="M2" s="35">
        <v>44165</v>
      </c>
      <c r="N2" s="35">
        <v>44196</v>
      </c>
      <c r="O2" s="25" t="s">
        <v>138</v>
      </c>
      <c r="P2" s="36" t="s">
        <v>139</v>
      </c>
      <c r="R2" s="34" t="s">
        <v>137</v>
      </c>
      <c r="S2" s="35">
        <v>44227</v>
      </c>
      <c r="T2" s="35" t="s">
        <v>180</v>
      </c>
      <c r="U2" s="35">
        <v>44286</v>
      </c>
      <c r="V2" s="35">
        <v>44316</v>
      </c>
      <c r="W2" s="35">
        <v>44347</v>
      </c>
      <c r="X2" s="35">
        <v>44377</v>
      </c>
      <c r="Y2" s="35">
        <v>44408</v>
      </c>
      <c r="Z2" s="35">
        <v>44439</v>
      </c>
      <c r="AA2" s="35">
        <v>44469</v>
      </c>
      <c r="AB2" s="35">
        <v>44500</v>
      </c>
      <c r="AC2" s="35">
        <v>44530</v>
      </c>
      <c r="AD2" s="35">
        <v>44561</v>
      </c>
      <c r="AE2" s="25" t="s">
        <v>138</v>
      </c>
      <c r="AF2" s="36" t="s">
        <v>139</v>
      </c>
      <c r="AH2" s="34" t="s">
        <v>137</v>
      </c>
      <c r="AI2" s="35">
        <v>44592</v>
      </c>
      <c r="AJ2" s="35">
        <v>44620</v>
      </c>
      <c r="AK2" s="35">
        <v>44651</v>
      </c>
      <c r="AL2" s="35">
        <v>44681</v>
      </c>
      <c r="AM2" s="35">
        <v>44712</v>
      </c>
      <c r="AN2" s="35">
        <v>44742</v>
      </c>
      <c r="AO2" s="35">
        <v>44773</v>
      </c>
      <c r="AP2" s="35">
        <v>44804</v>
      </c>
      <c r="AQ2" s="35">
        <v>44834</v>
      </c>
      <c r="AR2" s="35">
        <v>44865</v>
      </c>
      <c r="AS2" s="35">
        <v>44895</v>
      </c>
      <c r="AT2" s="35">
        <v>44926</v>
      </c>
      <c r="AU2" s="25" t="s">
        <v>138</v>
      </c>
      <c r="AV2" s="36" t="s">
        <v>139</v>
      </c>
      <c r="AY2" s="34" t="s">
        <v>137</v>
      </c>
      <c r="AZ2" s="35">
        <v>44957</v>
      </c>
      <c r="BA2" s="35">
        <v>44985</v>
      </c>
      <c r="BB2" s="35">
        <v>45016</v>
      </c>
      <c r="BC2" s="35">
        <v>45046</v>
      </c>
      <c r="BD2" s="35">
        <v>45077</v>
      </c>
      <c r="BE2" s="35">
        <v>45107</v>
      </c>
      <c r="BF2" s="35">
        <v>45138</v>
      </c>
      <c r="BG2" s="35">
        <v>45169</v>
      </c>
      <c r="BH2" s="35">
        <v>45199</v>
      </c>
      <c r="BI2" s="35">
        <v>45230</v>
      </c>
      <c r="BJ2" s="35">
        <v>45260</v>
      </c>
      <c r="BK2" s="35">
        <v>45291</v>
      </c>
      <c r="BL2" s="25" t="s">
        <v>138</v>
      </c>
      <c r="BM2" s="36" t="s">
        <v>139</v>
      </c>
      <c r="BO2" s="34" t="s">
        <v>137</v>
      </c>
      <c r="BP2" s="35">
        <v>45322</v>
      </c>
      <c r="BQ2" s="35">
        <v>45351</v>
      </c>
      <c r="BR2" s="35">
        <v>45382</v>
      </c>
      <c r="BS2" s="35">
        <v>45412</v>
      </c>
      <c r="BT2" s="35">
        <v>45443</v>
      </c>
      <c r="BU2" s="35">
        <v>45473</v>
      </c>
      <c r="BV2" s="35">
        <v>45504</v>
      </c>
      <c r="BW2" s="35">
        <v>45535</v>
      </c>
      <c r="BX2" s="35">
        <v>45565</v>
      </c>
      <c r="BY2" s="35">
        <v>45596</v>
      </c>
      <c r="BZ2" s="35">
        <v>45626</v>
      </c>
      <c r="CA2" s="35">
        <v>45657</v>
      </c>
      <c r="CB2" s="25" t="s">
        <v>138</v>
      </c>
      <c r="CC2" s="36" t="s">
        <v>139</v>
      </c>
      <c r="CE2" s="34" t="s">
        <v>137</v>
      </c>
      <c r="CF2" s="35">
        <v>45688</v>
      </c>
      <c r="CG2" s="35">
        <v>45716</v>
      </c>
      <c r="CH2" s="35">
        <v>45747</v>
      </c>
      <c r="CI2" s="35">
        <v>45777</v>
      </c>
      <c r="CJ2" s="35">
        <v>45808</v>
      </c>
      <c r="CK2" s="35">
        <v>45838</v>
      </c>
      <c r="CL2" s="35">
        <v>45869</v>
      </c>
      <c r="CM2" s="35">
        <v>45900</v>
      </c>
      <c r="CN2" s="35">
        <v>45930</v>
      </c>
      <c r="CO2" s="35">
        <v>45961</v>
      </c>
      <c r="CP2" s="35">
        <v>45991</v>
      </c>
      <c r="CQ2" s="35">
        <v>46022</v>
      </c>
      <c r="CR2" s="25" t="s">
        <v>138</v>
      </c>
      <c r="CS2" s="36" t="s">
        <v>139</v>
      </c>
    </row>
    <row r="3" spans="2:97" x14ac:dyDescent="0.3">
      <c r="B3" s="37">
        <v>0</v>
      </c>
      <c r="C3" s="37">
        <v>4.2625000000000002</v>
      </c>
      <c r="D3" s="37">
        <v>4.1234999999999999</v>
      </c>
      <c r="E3" s="37">
        <v>3.8851</v>
      </c>
      <c r="F3" s="37">
        <v>4.3102999999999998</v>
      </c>
      <c r="G3" s="37">
        <v>3.5541</v>
      </c>
      <c r="H3" s="37">
        <v>3.4822000000000002</v>
      </c>
      <c r="I3" s="37">
        <v>3.3835999999999999</v>
      </c>
      <c r="J3" s="37">
        <v>3.0944500000000001</v>
      </c>
      <c r="K3" s="37">
        <v>2.8052999999999999</v>
      </c>
      <c r="L3" s="37">
        <v>2.6770999999999998</v>
      </c>
      <c r="M3" s="37">
        <v>1.8492999999999999</v>
      </c>
      <c r="N3" s="37">
        <v>2.9413</v>
      </c>
      <c r="O3" s="38">
        <f>N3/100</f>
        <v>2.9413000000000002E-2</v>
      </c>
      <c r="P3" s="39">
        <f>AVERAGE(C3:N3)/100</f>
        <v>3.3640625000000007E-2</v>
      </c>
      <c r="R3" s="37">
        <v>0</v>
      </c>
      <c r="S3" s="37">
        <v>3.1577999999999999</v>
      </c>
      <c r="T3" s="37">
        <v>3.3691</v>
      </c>
      <c r="U3" s="37">
        <v>3.2484999999999999</v>
      </c>
      <c r="V3" s="37">
        <v>3.1408999999999998</v>
      </c>
      <c r="W3" s="37">
        <v>3.0512999999999999</v>
      </c>
      <c r="X3" s="37">
        <v>2.7974000000000001</v>
      </c>
      <c r="Y3" s="37">
        <v>2.2273999999999998</v>
      </c>
      <c r="Z3" s="37">
        <v>2.1057000000000001</v>
      </c>
      <c r="AA3" s="37">
        <v>2.3679999999999999</v>
      </c>
      <c r="AB3" s="37">
        <v>2.8397999999999999</v>
      </c>
      <c r="AC3" s="37">
        <v>2.9847000000000001</v>
      </c>
      <c r="AD3" s="37">
        <v>2.8302999999999998</v>
      </c>
      <c r="AE3" s="38">
        <f>AD3/100</f>
        <v>2.8302999999999998E-2</v>
      </c>
      <c r="AF3" s="39">
        <f>AVERAGE(S3:AD3)/100</f>
        <v>2.8434083333333332E-2</v>
      </c>
      <c r="AH3" s="37">
        <v>0</v>
      </c>
      <c r="AI3" s="37">
        <v>2.6760470000000001</v>
      </c>
      <c r="AJ3" s="37">
        <v>2.1812</v>
      </c>
      <c r="AK3" s="37">
        <v>2.3639000000000001</v>
      </c>
      <c r="AL3" s="37">
        <v>2.457325</v>
      </c>
      <c r="AM3" s="37">
        <v>3.2486999999999999</v>
      </c>
      <c r="AN3" s="37">
        <v>3.3271000000000002</v>
      </c>
      <c r="AO3" s="37">
        <v>2.1076000000000001</v>
      </c>
      <c r="AP3" s="37">
        <v>1.796</v>
      </c>
      <c r="AQ3" s="37">
        <v>3.7804000000000002</v>
      </c>
      <c r="AR3" s="37">
        <v>3.6951999999999998</v>
      </c>
      <c r="AS3" s="37">
        <v>4.5106000000000002</v>
      </c>
      <c r="AT3" s="37">
        <v>4.9630999999999998</v>
      </c>
      <c r="AU3" s="38">
        <f>AT3/100</f>
        <v>4.9631000000000002E-2</v>
      </c>
      <c r="AV3" s="39">
        <f>AVERAGE(AI3:AT3)/100</f>
        <v>3.0922643333333329E-2</v>
      </c>
      <c r="AY3" s="37">
        <v>0</v>
      </c>
      <c r="AZ3" s="37">
        <v>5.0140000000000002</v>
      </c>
      <c r="BA3" s="37">
        <v>5.5331799999999998</v>
      </c>
      <c r="BB3" s="37">
        <v>5.1797690000000003</v>
      </c>
      <c r="BC3" s="37">
        <v>5.4336419999999999</v>
      </c>
      <c r="BD3" s="37">
        <v>5.5819999999999999</v>
      </c>
      <c r="BE3" s="37">
        <v>5.5747</v>
      </c>
      <c r="BF3" s="37">
        <v>5.8372000000000002</v>
      </c>
      <c r="BG3" s="37">
        <v>6.1486999999999998</v>
      </c>
      <c r="BH3" s="37">
        <v>5.9748999999999999</v>
      </c>
      <c r="BI3" s="37">
        <v>6.2750000000000004</v>
      </c>
      <c r="BJ3" s="37">
        <v>6.3220999999999998</v>
      </c>
      <c r="BK3" s="37">
        <v>6.3388999999999998</v>
      </c>
      <c r="BL3" s="38">
        <f>BK3/100</f>
        <v>6.3389000000000001E-2</v>
      </c>
      <c r="BM3" s="39">
        <f>AVERAGE(AZ3:BK3)/100</f>
        <v>5.7678409166666667E-2</v>
      </c>
      <c r="BO3" s="37">
        <v>0</v>
      </c>
      <c r="BP3" s="37">
        <v>6.1856</v>
      </c>
      <c r="BQ3" s="37">
        <v>6.0754000000000001</v>
      </c>
      <c r="BR3" s="37">
        <v>5.8213999999999997</v>
      </c>
      <c r="BS3" s="37">
        <v>5.5406000000000004</v>
      </c>
      <c r="BT3" s="37">
        <v>5.5879000000000003</v>
      </c>
      <c r="BU3" s="37">
        <v>5.4863999999999997</v>
      </c>
      <c r="BV3" s="37">
        <v>5.8590999999999998</v>
      </c>
      <c r="BW3" s="37">
        <v>6.3491999999999997</v>
      </c>
      <c r="BX3" s="37">
        <v>5.9904000000000002</v>
      </c>
      <c r="BY3" s="37">
        <v>5.9945000000000004</v>
      </c>
      <c r="BZ3" s="37">
        <v>6.2539999999999996</v>
      </c>
      <c r="CA3" s="37">
        <v>6.7159999999999993</v>
      </c>
      <c r="CB3" s="38">
        <f>CA3/100</f>
        <v>6.7159999999999997E-2</v>
      </c>
      <c r="CC3" s="39">
        <f>AVERAGE(BP3:CA3)/100</f>
        <v>5.9883749999999986E-2</v>
      </c>
      <c r="CE3" s="37">
        <v>0</v>
      </c>
      <c r="CF3" s="37">
        <v>6.3325419999999992</v>
      </c>
      <c r="CG3" s="37">
        <v>6.29575</v>
      </c>
      <c r="CH3" s="37">
        <v>6.3913750000000009</v>
      </c>
      <c r="CI3" s="37">
        <v>6.2734209999999999</v>
      </c>
      <c r="CJ3" s="37">
        <v>6.1153640000000005</v>
      </c>
      <c r="CK3" s="37">
        <v>5.8588569999999995</v>
      </c>
      <c r="CL3" s="37">
        <v>5.586246</v>
      </c>
      <c r="CM3" s="37">
        <v>5.1653260000000003</v>
      </c>
      <c r="CN3" s="37">
        <v>4.9571320000000005</v>
      </c>
      <c r="CO3" s="37">
        <v>4.7643109999999993</v>
      </c>
      <c r="CP3" s="37">
        <v>4.8096920000000001</v>
      </c>
      <c r="CQ3" s="37">
        <v>4.7444449999999998</v>
      </c>
      <c r="CR3" s="38">
        <f>CQ3/100</f>
        <v>4.7444449999999999E-2</v>
      </c>
      <c r="CS3" s="39">
        <f>AVERAGE(CF3:CQ3)/100</f>
        <v>5.60787175E-2</v>
      </c>
    </row>
    <row r="4" spans="2:97" x14ac:dyDescent="0.3">
      <c r="B4" s="37">
        <v>1</v>
      </c>
      <c r="C4" s="37">
        <v>4.9931000000000001</v>
      </c>
      <c r="D4" s="37">
        <v>4.7606000000000002</v>
      </c>
      <c r="E4" s="37">
        <v>5.3178000000000001</v>
      </c>
      <c r="F4" s="37">
        <v>5.452</v>
      </c>
      <c r="G4" s="37">
        <v>5.3734999999999999</v>
      </c>
      <c r="H4" s="37">
        <v>4.8661000000000003</v>
      </c>
      <c r="I4" s="37">
        <v>4.2655000000000003</v>
      </c>
      <c r="J4" s="37">
        <v>4.0438499999999999</v>
      </c>
      <c r="K4" s="37">
        <v>3.8222</v>
      </c>
      <c r="L4" s="37">
        <v>3.6421000000000001</v>
      </c>
      <c r="M4" s="37">
        <v>3.2591000000000001</v>
      </c>
      <c r="N4" s="37">
        <v>3.6410999999999998</v>
      </c>
      <c r="O4" s="38">
        <f t="shared" ref="O4:O33" si="0">N4/100</f>
        <v>3.6410999999999999E-2</v>
      </c>
      <c r="P4" s="39">
        <f t="shared" ref="P4:P33" si="1">AVERAGE(C4:N4)/100</f>
        <v>4.4530791666666666E-2</v>
      </c>
      <c r="R4" s="37">
        <v>1</v>
      </c>
      <c r="S4" s="37">
        <v>3.9861</v>
      </c>
      <c r="T4" s="37">
        <v>4.1028000000000002</v>
      </c>
      <c r="U4" s="37">
        <v>4.1295000000000002</v>
      </c>
      <c r="V4" s="37">
        <v>3.9786999999999999</v>
      </c>
      <c r="W4" s="37">
        <v>3.8294999999999999</v>
      </c>
      <c r="X4" s="37">
        <v>3.6913999999999998</v>
      </c>
      <c r="Y4" s="37">
        <v>3.3593000000000002</v>
      </c>
      <c r="Z4" s="37">
        <v>3.2319</v>
      </c>
      <c r="AA4" s="37">
        <v>3.4862000000000002</v>
      </c>
      <c r="AB4" s="37">
        <v>3.5529000000000002</v>
      </c>
      <c r="AC4" s="37">
        <v>3.4599000000000002</v>
      </c>
      <c r="AD4" s="37">
        <v>3.3927</v>
      </c>
      <c r="AE4" s="38">
        <f t="shared" ref="AE4:AE33" si="2">AD4/100</f>
        <v>3.3926999999999999E-2</v>
      </c>
      <c r="AF4" s="39">
        <f t="shared" ref="AF4:AF33" si="3">AVERAGE(S4:AD4)/100</f>
        <v>3.683408333333333E-2</v>
      </c>
      <c r="AH4" s="37">
        <v>1</v>
      </c>
      <c r="AI4" s="37">
        <v>3.3625839999999996</v>
      </c>
      <c r="AJ4" s="37">
        <v>3.2040999999999999</v>
      </c>
      <c r="AK4" s="37">
        <v>3.4792999999999998</v>
      </c>
      <c r="AL4" s="37">
        <v>4.1738860000000004</v>
      </c>
      <c r="AM4" s="37">
        <v>4.2987000000000002</v>
      </c>
      <c r="AN4" s="37">
        <v>4.2640000000000002</v>
      </c>
      <c r="AO4" s="37">
        <v>4.391</v>
      </c>
      <c r="AP4" s="37">
        <v>4.9414999999999996</v>
      </c>
      <c r="AQ4" s="37">
        <v>5.7408000000000001</v>
      </c>
      <c r="AR4" s="37">
        <v>6.1082999999999998</v>
      </c>
      <c r="AS4" s="37">
        <v>5.7606999999999999</v>
      </c>
      <c r="AT4" s="37">
        <v>5.5201000000000002</v>
      </c>
      <c r="AU4" s="38">
        <f t="shared" ref="AU4:AU33" si="4">AT4/100</f>
        <v>5.5201E-2</v>
      </c>
      <c r="AV4" s="39">
        <f t="shared" ref="AV4:AV33" si="5">AVERAGE(AI4:AT4)/100</f>
        <v>4.6037475000000001E-2</v>
      </c>
      <c r="AY4" s="37">
        <v>1</v>
      </c>
      <c r="AZ4" s="37">
        <v>5.5976999999999997</v>
      </c>
      <c r="BA4" s="37">
        <v>6.0982000000000003</v>
      </c>
      <c r="BB4" s="37">
        <v>5.8501289999999999</v>
      </c>
      <c r="BC4" s="37">
        <v>5.9395980000000002</v>
      </c>
      <c r="BD4" s="37">
        <v>5.6807999999999996</v>
      </c>
      <c r="BE4" s="37">
        <v>5.6722999999999999</v>
      </c>
      <c r="BF4" s="37">
        <v>5.8592000000000004</v>
      </c>
      <c r="BG4" s="37">
        <v>6.1604999999999999</v>
      </c>
      <c r="BH4" s="37">
        <v>6.18</v>
      </c>
      <c r="BI4" s="37">
        <v>6.7024999999999997</v>
      </c>
      <c r="BJ4" s="37">
        <v>6.4455999999999998</v>
      </c>
      <c r="BK4" s="37">
        <v>6.3681999999999999</v>
      </c>
      <c r="BL4" s="38">
        <f t="shared" ref="BL4:BL33" si="6">BK4/100</f>
        <v>6.3682000000000002E-2</v>
      </c>
      <c r="BM4" s="39">
        <f t="shared" ref="BM4:BM33" si="7">AVERAGE(AZ4:BK4)/100</f>
        <v>6.0462272500000004E-2</v>
      </c>
      <c r="BO4" s="37">
        <v>1</v>
      </c>
      <c r="BP4" s="37">
        <v>6.2474999999999996</v>
      </c>
      <c r="BQ4" s="37">
        <v>6.1917999999999997</v>
      </c>
      <c r="BR4" s="37">
        <v>6.1033999999999997</v>
      </c>
      <c r="BS4" s="37">
        <v>6.6692</v>
      </c>
      <c r="BT4" s="37">
        <v>6.3036000000000003</v>
      </c>
      <c r="BU4" s="37">
        <v>6.5464000000000002</v>
      </c>
      <c r="BV4" s="37">
        <v>6.3128000000000002</v>
      </c>
      <c r="BW4" s="37">
        <v>6.3811</v>
      </c>
      <c r="BX4" s="37">
        <v>6.0797999999999996</v>
      </c>
      <c r="BY4" s="37">
        <v>6.3030999999999997</v>
      </c>
      <c r="BZ4" s="37">
        <v>6.4588999999999999</v>
      </c>
      <c r="CA4" s="37">
        <v>6.8789999999999987</v>
      </c>
      <c r="CB4" s="38">
        <f t="shared" ref="CB4:CB33" si="8">CA4/100</f>
        <v>6.878999999999999E-2</v>
      </c>
      <c r="CC4" s="39">
        <f t="shared" ref="CC4:CC33" si="9">AVERAGE(BP4:CA4)/100</f>
        <v>6.3730499999999995E-2</v>
      </c>
      <c r="CE4" s="37">
        <v>1</v>
      </c>
      <c r="CF4" s="37">
        <v>6.7330970000000008</v>
      </c>
      <c r="CG4" s="37">
        <v>6.5321789999999993</v>
      </c>
      <c r="CH4" s="37">
        <v>6.6827389999999998</v>
      </c>
      <c r="CI4" s="37">
        <v>6.4402930000000014</v>
      </c>
      <c r="CJ4" s="37">
        <v>6.2982670000000001</v>
      </c>
      <c r="CK4" s="37">
        <v>6.0607559999999996</v>
      </c>
      <c r="CL4" s="37">
        <v>5.8068520000000001</v>
      </c>
      <c r="CM4" s="37">
        <v>5.3715200000000003</v>
      </c>
      <c r="CN4" s="37">
        <v>5.1255930000000003</v>
      </c>
      <c r="CO4" s="37">
        <v>4.9773020000000008</v>
      </c>
      <c r="CP4" s="37">
        <v>5.1060799999999995</v>
      </c>
      <c r="CQ4" s="37">
        <v>5.0420449999999999</v>
      </c>
      <c r="CR4" s="38">
        <f t="shared" ref="CR4:CR33" si="10">CQ4/100</f>
        <v>5.0420449999999999E-2</v>
      </c>
      <c r="CS4" s="39">
        <f t="shared" ref="CS4:CS33" si="11">AVERAGE(CF4:CQ4)/100</f>
        <v>5.8480602500000006E-2</v>
      </c>
    </row>
    <row r="5" spans="2:97" x14ac:dyDescent="0.3">
      <c r="B5" s="37">
        <v>2</v>
      </c>
      <c r="C5" s="37">
        <v>5.4854000000000003</v>
      </c>
      <c r="D5" s="37">
        <v>5.2622</v>
      </c>
      <c r="E5" s="37">
        <v>6.2344999999999997</v>
      </c>
      <c r="F5" s="37">
        <v>6.2965999999999998</v>
      </c>
      <c r="G5" s="37">
        <v>6.2695999999999996</v>
      </c>
      <c r="H5" s="37">
        <v>5.6839000000000004</v>
      </c>
      <c r="I5" s="37">
        <v>4.9523000000000001</v>
      </c>
      <c r="J5" s="37">
        <v>4.7645</v>
      </c>
      <c r="K5" s="37">
        <v>4.5766999999999998</v>
      </c>
      <c r="L5" s="37">
        <v>4.3921999999999999</v>
      </c>
      <c r="M5" s="37">
        <v>4.1543999999999999</v>
      </c>
      <c r="N5" s="37">
        <v>4.2282000000000002</v>
      </c>
      <c r="O5" s="38">
        <f t="shared" si="0"/>
        <v>4.2282E-2</v>
      </c>
      <c r="P5" s="39">
        <f t="shared" si="1"/>
        <v>5.1917083333333336E-2</v>
      </c>
      <c r="R5" s="37">
        <v>2</v>
      </c>
      <c r="S5" s="37">
        <v>4.5259</v>
      </c>
      <c r="T5" s="37">
        <v>4.6966999999999999</v>
      </c>
      <c r="U5" s="37">
        <v>4.8224</v>
      </c>
      <c r="V5" s="37">
        <v>4.6418999999999997</v>
      </c>
      <c r="W5" s="37">
        <v>4.4749999999999996</v>
      </c>
      <c r="X5" s="37">
        <v>4.3658000000000001</v>
      </c>
      <c r="Y5" s="37">
        <v>4.1074000000000002</v>
      </c>
      <c r="Z5" s="37">
        <v>4.0132000000000003</v>
      </c>
      <c r="AA5" s="37">
        <v>4.1790000000000003</v>
      </c>
      <c r="AB5" s="37">
        <v>4.1169000000000002</v>
      </c>
      <c r="AC5" s="37">
        <v>3.9662999999999999</v>
      </c>
      <c r="AD5" s="37">
        <v>3.9651000000000001</v>
      </c>
      <c r="AE5" s="38">
        <f t="shared" si="2"/>
        <v>3.9650999999999999E-2</v>
      </c>
      <c r="AF5" s="39">
        <f t="shared" si="3"/>
        <v>4.3229666666666666E-2</v>
      </c>
      <c r="AH5" s="37">
        <v>2</v>
      </c>
      <c r="AI5" s="37">
        <v>4.0423070000000001</v>
      </c>
      <c r="AJ5" s="37">
        <v>4.0392999999999999</v>
      </c>
      <c r="AK5" s="37">
        <v>4.2976999999999999</v>
      </c>
      <c r="AL5" s="37">
        <v>5.1470799999999999</v>
      </c>
      <c r="AM5" s="37">
        <v>5.1219000000000001</v>
      </c>
      <c r="AN5" s="37">
        <v>5.0705999999999998</v>
      </c>
      <c r="AO5" s="37">
        <v>5.5323000000000002</v>
      </c>
      <c r="AP5" s="37">
        <v>5.7956000000000003</v>
      </c>
      <c r="AQ5" s="37">
        <v>6.2919999999999998</v>
      </c>
      <c r="AR5" s="37">
        <v>6.7946999999999997</v>
      </c>
      <c r="AS5" s="37">
        <v>6.2666000000000004</v>
      </c>
      <c r="AT5" s="37">
        <v>5.9314999999999998</v>
      </c>
      <c r="AU5" s="38">
        <f t="shared" si="4"/>
        <v>5.9315E-2</v>
      </c>
      <c r="AV5" s="39">
        <f t="shared" si="5"/>
        <v>5.3609655833333332E-2</v>
      </c>
      <c r="AY5" s="37">
        <v>2</v>
      </c>
      <c r="AZ5" s="37">
        <v>5.9401999999999999</v>
      </c>
      <c r="BA5" s="37">
        <v>6.3433999999999999</v>
      </c>
      <c r="BB5" s="37">
        <v>6.1633230000000001</v>
      </c>
      <c r="BC5" s="37">
        <v>6.14506</v>
      </c>
      <c r="BD5" s="37">
        <v>5.7907000000000002</v>
      </c>
      <c r="BE5" s="37">
        <v>5.7694000000000001</v>
      </c>
      <c r="BF5" s="37">
        <v>5.9001999999999999</v>
      </c>
      <c r="BG5" s="37">
        <v>6.1731999999999996</v>
      </c>
      <c r="BH5" s="37">
        <v>6.2767999999999997</v>
      </c>
      <c r="BI5" s="37">
        <v>6.9135999999999997</v>
      </c>
      <c r="BJ5" s="37">
        <v>6.5334000000000003</v>
      </c>
      <c r="BK5" s="37">
        <v>6.3971999999999998</v>
      </c>
      <c r="BL5" s="38">
        <f t="shared" si="6"/>
        <v>6.3972000000000001E-2</v>
      </c>
      <c r="BM5" s="39">
        <f t="shared" si="7"/>
        <v>6.1955402500000006E-2</v>
      </c>
      <c r="BO5" s="37">
        <v>2</v>
      </c>
      <c r="BP5" s="37">
        <v>6.3026</v>
      </c>
      <c r="BQ5" s="37">
        <v>6.2853000000000003</v>
      </c>
      <c r="BR5" s="37">
        <v>6.2949999999999999</v>
      </c>
      <c r="BS5" s="37">
        <v>6.9962999999999997</v>
      </c>
      <c r="BT5" s="37">
        <v>6.6292</v>
      </c>
      <c r="BU5" s="37">
        <v>6.7423999999999999</v>
      </c>
      <c r="BV5" s="37">
        <v>6.5449999999999999</v>
      </c>
      <c r="BW5" s="37">
        <v>6.4187000000000003</v>
      </c>
      <c r="BX5" s="37">
        <v>6.1414</v>
      </c>
      <c r="BY5" s="37">
        <v>6.4528999999999996</v>
      </c>
      <c r="BZ5" s="37">
        <v>6.5862999999999996</v>
      </c>
      <c r="CA5" s="37">
        <v>6.9495000000000005</v>
      </c>
      <c r="CB5" s="38">
        <f t="shared" si="8"/>
        <v>6.9495000000000001E-2</v>
      </c>
      <c r="CC5" s="39">
        <f t="shared" si="9"/>
        <v>6.5287166666666646E-2</v>
      </c>
      <c r="CE5" s="37">
        <v>2</v>
      </c>
      <c r="CF5" s="37">
        <v>6.8827359999999986</v>
      </c>
      <c r="CG5" s="37">
        <v>6.68675</v>
      </c>
      <c r="CH5" s="37">
        <v>6.7847580000000001</v>
      </c>
      <c r="CI5" s="37">
        <v>6.5339849999999995</v>
      </c>
      <c r="CJ5" s="37">
        <v>6.3873479999999994</v>
      </c>
      <c r="CK5" s="37">
        <v>6.2216560000000003</v>
      </c>
      <c r="CL5" s="37">
        <v>5.9919379999999993</v>
      </c>
      <c r="CM5" s="37">
        <v>5.5649639999999998</v>
      </c>
      <c r="CN5" s="37">
        <v>5.283589000000001</v>
      </c>
      <c r="CO5" s="37">
        <v>5.2027299999999999</v>
      </c>
      <c r="CP5" s="37">
        <v>5.4465010000000005</v>
      </c>
      <c r="CQ5" s="37">
        <v>5.3472139999999992</v>
      </c>
      <c r="CR5" s="38">
        <f t="shared" si="10"/>
        <v>5.3472139999999994E-2</v>
      </c>
      <c r="CS5" s="39">
        <f t="shared" si="11"/>
        <v>6.0278474166666672E-2</v>
      </c>
    </row>
    <row r="6" spans="2:97" x14ac:dyDescent="0.3">
      <c r="B6" s="37">
        <v>3</v>
      </c>
      <c r="C6" s="37">
        <v>5.8048999999999999</v>
      </c>
      <c r="D6" s="37">
        <v>5.6547999999999998</v>
      </c>
      <c r="E6" s="37">
        <v>6.8052000000000001</v>
      </c>
      <c r="F6" s="37">
        <v>6.8631000000000002</v>
      </c>
      <c r="G6" s="37">
        <v>6.6531000000000002</v>
      </c>
      <c r="H6" s="37">
        <v>6.1429999999999998</v>
      </c>
      <c r="I6" s="37">
        <v>5.4550999999999998</v>
      </c>
      <c r="J6" s="37">
        <v>5.2907500000000001</v>
      </c>
      <c r="K6" s="37">
        <v>5.1264000000000003</v>
      </c>
      <c r="L6" s="37">
        <v>4.9516</v>
      </c>
      <c r="M6" s="37">
        <v>4.7041000000000004</v>
      </c>
      <c r="N6" s="37">
        <v>4.6810999999999998</v>
      </c>
      <c r="O6" s="38">
        <f t="shared" si="0"/>
        <v>4.6810999999999998E-2</v>
      </c>
      <c r="P6" s="39">
        <f t="shared" si="1"/>
        <v>5.6777624999999998E-2</v>
      </c>
      <c r="R6" s="37">
        <v>3</v>
      </c>
      <c r="S6" s="37">
        <v>4.8903999999999996</v>
      </c>
      <c r="T6" s="37">
        <v>5.1517999999999997</v>
      </c>
      <c r="U6" s="37">
        <v>5.3296000000000001</v>
      </c>
      <c r="V6" s="37">
        <v>5.1298000000000004</v>
      </c>
      <c r="W6" s="37">
        <v>4.9686000000000003</v>
      </c>
      <c r="X6" s="37">
        <v>4.8605999999999998</v>
      </c>
      <c r="Y6" s="37">
        <v>4.6028000000000002</v>
      </c>
      <c r="Z6" s="37">
        <v>4.5358000000000001</v>
      </c>
      <c r="AA6" s="37">
        <v>4.6247999999999996</v>
      </c>
      <c r="AB6" s="37">
        <v>4.5563000000000002</v>
      </c>
      <c r="AC6" s="37">
        <v>4.4378000000000002</v>
      </c>
      <c r="AD6" s="37">
        <v>4.4823000000000004</v>
      </c>
      <c r="AE6" s="38">
        <f t="shared" si="2"/>
        <v>4.4823000000000002E-2</v>
      </c>
      <c r="AF6" s="39">
        <f t="shared" si="3"/>
        <v>4.7975500000000004E-2</v>
      </c>
      <c r="AH6" s="37">
        <v>3</v>
      </c>
      <c r="AI6" s="37">
        <v>4.6335740000000003</v>
      </c>
      <c r="AJ6" s="37">
        <v>4.6788000000000007</v>
      </c>
      <c r="AK6" s="37">
        <v>4.9083000000000006</v>
      </c>
      <c r="AL6" s="37">
        <v>5.7112040000000004</v>
      </c>
      <c r="AM6" s="37">
        <v>5.7190000000000003</v>
      </c>
      <c r="AN6" s="37">
        <v>5.6936999999999998</v>
      </c>
      <c r="AO6" s="37">
        <v>6.1032999999999999</v>
      </c>
      <c r="AP6" s="37">
        <v>6.1714000000000002</v>
      </c>
      <c r="AQ6" s="37">
        <v>6.548</v>
      </c>
      <c r="AR6" s="37">
        <v>7.01</v>
      </c>
      <c r="AS6" s="37">
        <v>6.4797000000000002</v>
      </c>
      <c r="AT6" s="37">
        <v>6.2163000000000004</v>
      </c>
      <c r="AU6" s="38">
        <f t="shared" si="4"/>
        <v>6.2163000000000003E-2</v>
      </c>
      <c r="AV6" s="39">
        <f t="shared" si="5"/>
        <v>5.8227731666666671E-2</v>
      </c>
      <c r="AY6" s="37">
        <v>3</v>
      </c>
      <c r="AZ6" s="37">
        <v>6.1318000000000001</v>
      </c>
      <c r="BA6" s="37">
        <v>6.4164000000000003</v>
      </c>
      <c r="BB6" s="37">
        <v>6.2987120000000001</v>
      </c>
      <c r="BC6" s="37">
        <v>6.2250459999999999</v>
      </c>
      <c r="BD6" s="37">
        <v>5.899</v>
      </c>
      <c r="BE6" s="37">
        <v>5.8592000000000004</v>
      </c>
      <c r="BF6" s="37">
        <v>5.9523000000000001</v>
      </c>
      <c r="BG6" s="37">
        <v>6.1927000000000003</v>
      </c>
      <c r="BH6" s="37">
        <v>6.3540999999999999</v>
      </c>
      <c r="BI6" s="37">
        <v>7.0141</v>
      </c>
      <c r="BJ6" s="37">
        <v>6.5903</v>
      </c>
      <c r="BK6" s="37">
        <v>6.4245000000000001</v>
      </c>
      <c r="BL6" s="38">
        <f t="shared" si="6"/>
        <v>6.4244999999999997E-2</v>
      </c>
      <c r="BM6" s="39">
        <f t="shared" si="7"/>
        <v>6.2798465000000012E-2</v>
      </c>
      <c r="BO6" s="37">
        <v>3</v>
      </c>
      <c r="BP6" s="37">
        <v>6.3512000000000004</v>
      </c>
      <c r="BQ6" s="37">
        <v>6.3573000000000004</v>
      </c>
      <c r="BR6" s="37">
        <v>6.4145000000000003</v>
      </c>
      <c r="BS6" s="37">
        <v>7.0650000000000004</v>
      </c>
      <c r="BT6" s="37">
        <v>6.7530999999999999</v>
      </c>
      <c r="BU6" s="37">
        <v>6.8071000000000002</v>
      </c>
      <c r="BV6" s="37">
        <v>6.6553000000000004</v>
      </c>
      <c r="BW6" s="37">
        <v>6.4573</v>
      </c>
      <c r="BX6" s="37">
        <v>6.1877000000000004</v>
      </c>
      <c r="BY6" s="37">
        <v>6.5327000000000002</v>
      </c>
      <c r="BZ6" s="37">
        <v>6.6665000000000001</v>
      </c>
      <c r="CA6" s="37">
        <v>6.9767999999999999</v>
      </c>
      <c r="CB6" s="38">
        <f t="shared" si="8"/>
        <v>6.9767999999999997E-2</v>
      </c>
      <c r="CC6" s="39">
        <f t="shared" si="9"/>
        <v>6.6020416666666679E-2</v>
      </c>
      <c r="CE6" s="37">
        <v>3</v>
      </c>
      <c r="CF6" s="37">
        <v>6.9540889999999997</v>
      </c>
      <c r="CG6" s="37">
        <v>6.7964789999999997</v>
      </c>
      <c r="CH6" s="37">
        <v>6.864819999999999</v>
      </c>
      <c r="CI6" s="37">
        <v>6.6295360000000008</v>
      </c>
      <c r="CJ6" s="37">
        <v>6.4909940000000015</v>
      </c>
      <c r="CK6" s="37">
        <v>6.3613699999999991</v>
      </c>
      <c r="CL6" s="37">
        <v>6.1614309999999994</v>
      </c>
      <c r="CM6" s="37">
        <v>5.7467769999999998</v>
      </c>
      <c r="CN6" s="37">
        <v>5.4731680000000003</v>
      </c>
      <c r="CO6" s="37">
        <v>5.413157</v>
      </c>
      <c r="CP6" s="37">
        <v>5.7160220000000006</v>
      </c>
      <c r="CQ6" s="37">
        <v>5.5910210000000005</v>
      </c>
      <c r="CR6" s="38">
        <f t="shared" si="10"/>
        <v>5.5910210000000002E-2</v>
      </c>
      <c r="CS6" s="39">
        <f t="shared" si="11"/>
        <v>6.1832386666666669E-2</v>
      </c>
    </row>
    <row r="7" spans="2:97" x14ac:dyDescent="0.3">
      <c r="B7" s="37">
        <v>4</v>
      </c>
      <c r="C7" s="37">
        <v>6.0355999999999996</v>
      </c>
      <c r="D7" s="37">
        <v>5.9833999999999996</v>
      </c>
      <c r="E7" s="37">
        <v>7.1951999999999998</v>
      </c>
      <c r="F7" s="37">
        <v>7.2466999999999997</v>
      </c>
      <c r="G7" s="37">
        <v>6.8376000000000001</v>
      </c>
      <c r="H7" s="37">
        <v>6.4352</v>
      </c>
      <c r="I7" s="37">
        <v>5.8391000000000002</v>
      </c>
      <c r="J7" s="37">
        <v>5.6988500000000002</v>
      </c>
      <c r="K7" s="37">
        <v>5.5586000000000002</v>
      </c>
      <c r="L7" s="37">
        <v>5.3921999999999999</v>
      </c>
      <c r="M7" s="37">
        <v>5.0850999999999997</v>
      </c>
      <c r="N7" s="37">
        <v>5.0366999999999997</v>
      </c>
      <c r="O7" s="38">
        <f t="shared" si="0"/>
        <v>5.0366999999999995E-2</v>
      </c>
      <c r="P7" s="39">
        <f t="shared" si="1"/>
        <v>6.0286875000000004E-2</v>
      </c>
      <c r="R7" s="37">
        <v>4</v>
      </c>
      <c r="S7" s="37">
        <v>5.1788999999999996</v>
      </c>
      <c r="T7" s="37">
        <v>5.5152000000000001</v>
      </c>
      <c r="U7" s="37">
        <v>5.7138999999999998</v>
      </c>
      <c r="V7" s="37">
        <v>5.5010000000000003</v>
      </c>
      <c r="W7" s="37">
        <v>5.3539000000000003</v>
      </c>
      <c r="X7" s="37">
        <v>5.2508999999999997</v>
      </c>
      <c r="Y7" s="37">
        <v>4.9775</v>
      </c>
      <c r="Z7" s="37">
        <v>4.9188000000000001</v>
      </c>
      <c r="AA7" s="37">
        <v>4.9687999999999999</v>
      </c>
      <c r="AB7" s="37">
        <v>4.9236000000000004</v>
      </c>
      <c r="AC7" s="37">
        <v>4.8627000000000002</v>
      </c>
      <c r="AD7" s="37">
        <v>4.9389000000000003</v>
      </c>
      <c r="AE7" s="38">
        <f t="shared" si="2"/>
        <v>4.9389000000000002E-2</v>
      </c>
      <c r="AF7" s="39">
        <f t="shared" si="3"/>
        <v>5.175341666666667E-2</v>
      </c>
      <c r="AH7" s="37">
        <v>4</v>
      </c>
      <c r="AI7" s="37">
        <v>5.1337590000000004</v>
      </c>
      <c r="AJ7" s="37">
        <v>5.1807999999999996</v>
      </c>
      <c r="AK7" s="37">
        <v>5.3986999999999998</v>
      </c>
      <c r="AL7" s="37">
        <v>6.0932729999999999</v>
      </c>
      <c r="AM7" s="37">
        <v>6.1616999999999997</v>
      </c>
      <c r="AN7" s="37">
        <v>6.1707000000000001</v>
      </c>
      <c r="AO7" s="37">
        <v>6.4485999999999999</v>
      </c>
      <c r="AP7" s="37">
        <v>6.4722999999999997</v>
      </c>
      <c r="AQ7" s="37">
        <v>6.7751999999999999</v>
      </c>
      <c r="AR7" s="37">
        <v>7.1509</v>
      </c>
      <c r="AS7" s="37">
        <v>6.6154999999999999</v>
      </c>
      <c r="AT7" s="37">
        <v>6.4225000000000003</v>
      </c>
      <c r="AU7" s="38">
        <f t="shared" si="4"/>
        <v>6.4225000000000004E-2</v>
      </c>
      <c r="AV7" s="39">
        <f t="shared" si="5"/>
        <v>6.1686609999999996E-2</v>
      </c>
      <c r="AY7" s="37">
        <v>4</v>
      </c>
      <c r="AZ7" s="37">
        <v>6.2553000000000001</v>
      </c>
      <c r="BA7" s="37">
        <v>6.4722999999999997</v>
      </c>
      <c r="BB7" s="37">
        <v>6.3764219999999998</v>
      </c>
      <c r="BC7" s="37">
        <v>6.2796589999999997</v>
      </c>
      <c r="BD7" s="37">
        <v>6.0027999999999997</v>
      </c>
      <c r="BE7" s="37">
        <v>5.9429999999999996</v>
      </c>
      <c r="BF7" s="37">
        <v>6.0106000000000002</v>
      </c>
      <c r="BG7" s="37">
        <v>6.2209000000000003</v>
      </c>
      <c r="BH7" s="37">
        <v>6.4396000000000004</v>
      </c>
      <c r="BI7" s="37">
        <v>7.0705999999999998</v>
      </c>
      <c r="BJ7" s="37">
        <v>6.6287000000000003</v>
      </c>
      <c r="BK7" s="37">
        <v>6.4507000000000003</v>
      </c>
      <c r="BL7" s="38">
        <f t="shared" si="6"/>
        <v>6.4507000000000009E-2</v>
      </c>
      <c r="BM7" s="39">
        <f t="shared" si="7"/>
        <v>6.3458817499999987E-2</v>
      </c>
      <c r="BO7" s="37">
        <v>4</v>
      </c>
      <c r="BP7" s="37">
        <v>6.3970000000000002</v>
      </c>
      <c r="BQ7" s="37">
        <v>6.4162999999999997</v>
      </c>
      <c r="BR7" s="37">
        <v>6.4927999999999999</v>
      </c>
      <c r="BS7" s="37">
        <v>7.08</v>
      </c>
      <c r="BT7" s="37">
        <v>6.8015999999999996</v>
      </c>
      <c r="BU7" s="37">
        <v>6.8754</v>
      </c>
      <c r="BV7" s="37">
        <v>6.7173999999999996</v>
      </c>
      <c r="BW7" s="37">
        <v>6.4957000000000003</v>
      </c>
      <c r="BX7" s="37">
        <v>6.2304000000000004</v>
      </c>
      <c r="BY7" s="37">
        <v>6.593</v>
      </c>
      <c r="BZ7" s="37">
        <v>6.7253999999999996</v>
      </c>
      <c r="CA7" s="37">
        <v>6.9912000000000001</v>
      </c>
      <c r="CB7" s="38">
        <f t="shared" si="8"/>
        <v>6.9912000000000002E-2</v>
      </c>
      <c r="CC7" s="39">
        <f t="shared" si="9"/>
        <v>6.6513500000000003E-2</v>
      </c>
      <c r="CE7" s="37">
        <v>4</v>
      </c>
      <c r="CF7" s="37">
        <v>7.0211549999999994</v>
      </c>
      <c r="CG7" s="37">
        <v>6.8879279999999987</v>
      </c>
      <c r="CH7" s="37">
        <v>6.9645979999999996</v>
      </c>
      <c r="CI7" s="37">
        <v>6.7313580000000002</v>
      </c>
      <c r="CJ7" s="37">
        <v>6.6097199999999994</v>
      </c>
      <c r="CK7" s="37">
        <v>6.4934389999999995</v>
      </c>
      <c r="CL7" s="37">
        <v>6.3244949999999998</v>
      </c>
      <c r="CM7" s="37">
        <v>5.9311169999999995</v>
      </c>
      <c r="CN7" s="37">
        <v>5.6950810000000001</v>
      </c>
      <c r="CO7" s="37">
        <v>5.616053</v>
      </c>
      <c r="CP7" s="37">
        <v>5.9390319999999992</v>
      </c>
      <c r="CQ7" s="37">
        <v>5.8035010000000007</v>
      </c>
      <c r="CR7" s="38">
        <f t="shared" si="10"/>
        <v>5.8035010000000005E-2</v>
      </c>
      <c r="CS7" s="39">
        <f t="shared" si="11"/>
        <v>6.33478975E-2</v>
      </c>
    </row>
    <row r="8" spans="2:97" x14ac:dyDescent="0.3">
      <c r="B8" s="37">
        <v>5</v>
      </c>
      <c r="C8" s="37">
        <v>6.2220000000000004</v>
      </c>
      <c r="D8" s="37">
        <v>6.2679999999999998</v>
      </c>
      <c r="E8" s="37">
        <v>7.4821999999999997</v>
      </c>
      <c r="F8" s="37">
        <v>7.5101000000000004</v>
      </c>
      <c r="G8" s="37">
        <v>6.9622000000000002</v>
      </c>
      <c r="H8" s="37">
        <v>6.6519000000000004</v>
      </c>
      <c r="I8" s="37">
        <v>6.1437999999999997</v>
      </c>
      <c r="J8" s="37">
        <v>6.0298999999999996</v>
      </c>
      <c r="K8" s="37">
        <v>5.9160000000000004</v>
      </c>
      <c r="L8" s="37">
        <v>5.7531999999999996</v>
      </c>
      <c r="M8" s="37">
        <v>5.3845000000000001</v>
      </c>
      <c r="N8" s="37">
        <v>5.3215000000000003</v>
      </c>
      <c r="O8" s="38">
        <f t="shared" si="0"/>
        <v>5.3215000000000005E-2</v>
      </c>
      <c r="P8" s="39">
        <f t="shared" si="1"/>
        <v>6.3037750000000004E-2</v>
      </c>
      <c r="R8" s="37">
        <v>5</v>
      </c>
      <c r="S8" s="37">
        <v>4.4328000000000003</v>
      </c>
      <c r="T8" s="37">
        <v>5.8140000000000001</v>
      </c>
      <c r="U8" s="37">
        <v>6.0155000000000003</v>
      </c>
      <c r="V8" s="37">
        <v>5.7934999999999999</v>
      </c>
      <c r="W8" s="37">
        <v>5.6616</v>
      </c>
      <c r="X8" s="37">
        <v>5.5759999999999996</v>
      </c>
      <c r="Y8" s="37">
        <v>5.2920999999999996</v>
      </c>
      <c r="Z8" s="37">
        <v>5.2252999999999998</v>
      </c>
      <c r="AA8" s="37">
        <v>5.2702</v>
      </c>
      <c r="AB8" s="37">
        <v>5.2442000000000002</v>
      </c>
      <c r="AC8" s="37">
        <v>5.2369000000000003</v>
      </c>
      <c r="AD8" s="37">
        <v>5.3343999999999996</v>
      </c>
      <c r="AE8" s="38">
        <f t="shared" si="2"/>
        <v>5.3343999999999996E-2</v>
      </c>
      <c r="AF8" s="39">
        <f t="shared" si="3"/>
        <v>5.4080416666666659E-2</v>
      </c>
      <c r="AH8" s="37">
        <v>5</v>
      </c>
      <c r="AI8" s="37">
        <v>5.5482050000000003</v>
      </c>
      <c r="AJ8" s="37">
        <v>5.5803000000000003</v>
      </c>
      <c r="AK8" s="37">
        <v>5.8029999999999999</v>
      </c>
      <c r="AL8" s="37">
        <v>6.3812290000000003</v>
      </c>
      <c r="AM8" s="37">
        <v>6.4955999999999996</v>
      </c>
      <c r="AN8" s="37">
        <v>6.5328999999999997</v>
      </c>
      <c r="AO8" s="37">
        <v>6.6943999999999999</v>
      </c>
      <c r="AP8" s="37">
        <v>6.7173999999999996</v>
      </c>
      <c r="AQ8" s="37">
        <v>6.9794999999999998</v>
      </c>
      <c r="AR8" s="37">
        <v>7.2775000000000007</v>
      </c>
      <c r="AS8" s="37">
        <v>6.7329999999999997</v>
      </c>
      <c r="AT8" s="37">
        <v>6.5785</v>
      </c>
      <c r="AU8" s="38">
        <f t="shared" si="4"/>
        <v>6.5784999999999996E-2</v>
      </c>
      <c r="AV8" s="39">
        <f t="shared" si="5"/>
        <v>6.4434611666666683E-2</v>
      </c>
      <c r="AY8" s="37">
        <v>5</v>
      </c>
      <c r="AZ8" s="37">
        <v>6.3506</v>
      </c>
      <c r="BA8" s="37">
        <v>6.5460000000000003</v>
      </c>
      <c r="BB8" s="37">
        <v>6.443568</v>
      </c>
      <c r="BC8" s="37">
        <v>6.3414359999999999</v>
      </c>
      <c r="BD8" s="37">
        <v>6.1002000000000001</v>
      </c>
      <c r="BE8" s="37">
        <v>6.0216000000000003</v>
      </c>
      <c r="BF8" s="37">
        <v>6.0715000000000003</v>
      </c>
      <c r="BG8" s="37">
        <v>6.2565999999999997</v>
      </c>
      <c r="BH8" s="37">
        <v>6.5308999999999999</v>
      </c>
      <c r="BI8" s="37">
        <v>7.1085000000000003</v>
      </c>
      <c r="BJ8" s="37">
        <v>6.6566000000000001</v>
      </c>
      <c r="BK8" s="37">
        <v>6.4763000000000002</v>
      </c>
      <c r="BL8" s="38">
        <f t="shared" si="6"/>
        <v>6.4763000000000001E-2</v>
      </c>
      <c r="BM8" s="39">
        <f t="shared" si="7"/>
        <v>6.4086503333333336E-2</v>
      </c>
      <c r="BO8" s="37">
        <v>5</v>
      </c>
      <c r="BP8" s="37">
        <v>6.4413</v>
      </c>
      <c r="BQ8" s="37">
        <v>6.4672999999999998</v>
      </c>
      <c r="BR8" s="37">
        <v>6.5481999999999996</v>
      </c>
      <c r="BS8" s="37">
        <v>7.0890000000000004</v>
      </c>
      <c r="BT8" s="37">
        <v>6.8265000000000002</v>
      </c>
      <c r="BU8" s="37">
        <v>6.9404000000000003</v>
      </c>
      <c r="BV8" s="37">
        <v>6.7629999999999999</v>
      </c>
      <c r="BW8" s="37">
        <v>6.5328999999999997</v>
      </c>
      <c r="BX8" s="37">
        <v>6.2742000000000004</v>
      </c>
      <c r="BY8" s="37">
        <v>6.6494</v>
      </c>
      <c r="BZ8" s="37">
        <v>6.7743000000000002</v>
      </c>
      <c r="CA8" s="37">
        <v>7.0037000000000003</v>
      </c>
      <c r="CB8" s="38">
        <f t="shared" si="8"/>
        <v>7.0037000000000002E-2</v>
      </c>
      <c r="CC8" s="39">
        <f t="shared" si="9"/>
        <v>6.6925166666666661E-2</v>
      </c>
      <c r="CE8" s="37">
        <v>5</v>
      </c>
      <c r="CF8" s="37">
        <v>7.0975020000000004</v>
      </c>
      <c r="CG8" s="37">
        <v>6.9703839999999992</v>
      </c>
      <c r="CH8" s="37">
        <v>7.0752340000000009</v>
      </c>
      <c r="CI8" s="37">
        <v>6.835577999999999</v>
      </c>
      <c r="CJ8" s="37">
        <v>6.7340479999999996</v>
      </c>
      <c r="CK8" s="37">
        <v>6.6201840000000001</v>
      </c>
      <c r="CL8" s="37">
        <v>6.4791970000000001</v>
      </c>
      <c r="CM8" s="37">
        <v>6.1172560000000002</v>
      </c>
      <c r="CN8" s="37">
        <v>5.9343880000000002</v>
      </c>
      <c r="CO8" s="37">
        <v>5.8101659999999997</v>
      </c>
      <c r="CP8" s="37">
        <v>6.1263950000000005</v>
      </c>
      <c r="CQ8" s="37">
        <v>5.9927859999999997</v>
      </c>
      <c r="CR8" s="38">
        <f t="shared" si="10"/>
        <v>5.9927859999999999E-2</v>
      </c>
      <c r="CS8" s="39">
        <f t="shared" si="11"/>
        <v>6.4827598333333333E-2</v>
      </c>
    </row>
    <row r="9" spans="2:97" x14ac:dyDescent="0.3">
      <c r="B9" s="37">
        <v>6</v>
      </c>
      <c r="C9" s="37">
        <v>6.3856000000000002</v>
      </c>
      <c r="D9" s="37">
        <v>6.5164999999999997</v>
      </c>
      <c r="E9" s="37">
        <v>7.7035</v>
      </c>
      <c r="F9" s="37">
        <v>7.6938000000000004</v>
      </c>
      <c r="G9" s="37">
        <v>7.0796999999999999</v>
      </c>
      <c r="H9" s="37">
        <v>6.8333000000000004</v>
      </c>
      <c r="I9" s="37">
        <v>6.3929</v>
      </c>
      <c r="J9" s="37">
        <v>6.3060499999999999</v>
      </c>
      <c r="K9" s="37">
        <v>6.2191999999999998</v>
      </c>
      <c r="L9" s="37">
        <v>6.0559000000000003</v>
      </c>
      <c r="M9" s="37">
        <v>5.6421000000000001</v>
      </c>
      <c r="N9" s="37">
        <v>5.5541999999999998</v>
      </c>
      <c r="O9" s="38">
        <f t="shared" si="0"/>
        <v>5.5542000000000001E-2</v>
      </c>
      <c r="P9" s="39">
        <f t="shared" si="1"/>
        <v>6.531895833333333E-2</v>
      </c>
      <c r="R9" s="37">
        <v>6</v>
      </c>
      <c r="S9" s="37">
        <v>5.6661000000000001</v>
      </c>
      <c r="T9" s="37">
        <v>6.0644999999999998</v>
      </c>
      <c r="U9" s="37">
        <v>6.2596999999999996</v>
      </c>
      <c r="V9" s="37">
        <v>6.0316000000000001</v>
      </c>
      <c r="W9" s="37">
        <v>5.9127999999999998</v>
      </c>
      <c r="X9" s="37">
        <v>5.8552999999999997</v>
      </c>
      <c r="Y9" s="37">
        <v>5.5716999999999999</v>
      </c>
      <c r="Z9" s="37">
        <v>5.4866999999999999</v>
      </c>
      <c r="AA9" s="37">
        <v>5.548</v>
      </c>
      <c r="AB9" s="37">
        <v>5.5297000000000001</v>
      </c>
      <c r="AC9" s="37">
        <v>5.5606</v>
      </c>
      <c r="AD9" s="37">
        <v>5.6715999999999998</v>
      </c>
      <c r="AE9" s="38">
        <f t="shared" si="2"/>
        <v>5.6715999999999996E-2</v>
      </c>
      <c r="AF9" s="39">
        <f t="shared" si="3"/>
        <v>5.7631916666666665E-2</v>
      </c>
      <c r="AH9" s="37">
        <v>6</v>
      </c>
      <c r="AI9" s="37">
        <v>5.8861270000000001</v>
      </c>
      <c r="AJ9" s="37">
        <v>5.9001999999999999</v>
      </c>
      <c r="AK9" s="37">
        <v>6.1356999999999999</v>
      </c>
      <c r="AL9" s="37">
        <v>6.608339</v>
      </c>
      <c r="AM9" s="37">
        <v>6.7507000000000001</v>
      </c>
      <c r="AN9" s="37">
        <v>6.8061999999999996</v>
      </c>
      <c r="AO9" s="37">
        <v>6.8841999999999999</v>
      </c>
      <c r="AP9" s="37">
        <v>6.8956</v>
      </c>
      <c r="AQ9" s="37">
        <v>7.1420000000000003</v>
      </c>
      <c r="AR9" s="37">
        <v>7.3849</v>
      </c>
      <c r="AS9" s="37">
        <v>6.8407</v>
      </c>
      <c r="AT9" s="37">
        <v>6.7012</v>
      </c>
      <c r="AU9" s="38">
        <f t="shared" si="4"/>
        <v>6.7012000000000002E-2</v>
      </c>
      <c r="AV9" s="39">
        <f t="shared" si="5"/>
        <v>6.6613221666666667E-2</v>
      </c>
      <c r="AY9" s="37">
        <v>6</v>
      </c>
      <c r="AZ9" s="37">
        <v>6.4344999999999999</v>
      </c>
      <c r="BA9" s="37">
        <v>6.6334</v>
      </c>
      <c r="BB9" s="37">
        <v>6.5140019999999996</v>
      </c>
      <c r="BC9" s="37">
        <v>6.4148019999999999</v>
      </c>
      <c r="BD9" s="37">
        <v>6.1901999999999999</v>
      </c>
      <c r="BE9" s="37">
        <v>6.0953999999999997</v>
      </c>
      <c r="BF9" s="37">
        <v>6.1325000000000003</v>
      </c>
      <c r="BG9" s="37">
        <v>6.2979000000000003</v>
      </c>
      <c r="BH9" s="37">
        <v>6.6196000000000002</v>
      </c>
      <c r="BI9" s="37">
        <v>7.1368999999999998</v>
      </c>
      <c r="BJ9" s="37">
        <v>6.6787999999999998</v>
      </c>
      <c r="BK9" s="37">
        <v>6.5015999999999998</v>
      </c>
      <c r="BL9" s="38">
        <f t="shared" si="6"/>
        <v>6.5016000000000004E-2</v>
      </c>
      <c r="BM9" s="39">
        <f t="shared" si="7"/>
        <v>6.4708003333333319E-2</v>
      </c>
      <c r="BO9" s="37">
        <v>6</v>
      </c>
      <c r="BP9" s="37">
        <v>6.4846000000000004</v>
      </c>
      <c r="BQ9" s="37">
        <v>6.5129000000000001</v>
      </c>
      <c r="BR9" s="37">
        <v>6.5914999999999999</v>
      </c>
      <c r="BS9" s="37">
        <v>7.0986000000000002</v>
      </c>
      <c r="BT9" s="37">
        <v>6.8464</v>
      </c>
      <c r="BU9" s="37">
        <v>6.9904000000000002</v>
      </c>
      <c r="BV9" s="37">
        <v>6.8036000000000003</v>
      </c>
      <c r="BW9" s="37">
        <v>6.5681000000000003</v>
      </c>
      <c r="BX9" s="37">
        <v>6.3207000000000004</v>
      </c>
      <c r="BY9" s="37">
        <v>6.7042999999999999</v>
      </c>
      <c r="BZ9" s="37">
        <v>6.8175999999999997</v>
      </c>
      <c r="CA9" s="37">
        <v>7.0171000000000001</v>
      </c>
      <c r="CB9" s="38">
        <f t="shared" si="8"/>
        <v>7.0170999999999997E-2</v>
      </c>
      <c r="CC9" s="39">
        <f t="shared" si="9"/>
        <v>6.7296500000000009E-2</v>
      </c>
      <c r="CE9" s="37">
        <v>6</v>
      </c>
      <c r="CF9" s="37">
        <v>7.1782129999999995</v>
      </c>
      <c r="CG9" s="37">
        <v>7.0460010000000004</v>
      </c>
      <c r="CH9" s="37">
        <v>7.1815790000000002</v>
      </c>
      <c r="CI9" s="37">
        <v>6.9368009999999991</v>
      </c>
      <c r="CJ9" s="37">
        <v>6.8543729999999998</v>
      </c>
      <c r="CK9" s="37">
        <v>6.7401550000000006</v>
      </c>
      <c r="CL9" s="37">
        <v>6.6215770000000003</v>
      </c>
      <c r="CM9" s="37">
        <v>6.2998159999999999</v>
      </c>
      <c r="CN9" s="37">
        <v>6.1742629999999989</v>
      </c>
      <c r="CO9" s="37">
        <v>5.9924549999999996</v>
      </c>
      <c r="CP9" s="37">
        <v>6.284249</v>
      </c>
      <c r="CQ9" s="37">
        <v>6.1604089999999996</v>
      </c>
      <c r="CR9" s="38">
        <f t="shared" si="10"/>
        <v>6.1604089999999993E-2</v>
      </c>
      <c r="CS9" s="39">
        <f t="shared" si="11"/>
        <v>6.6224909166666665E-2</v>
      </c>
    </row>
    <row r="10" spans="2:97" x14ac:dyDescent="0.3">
      <c r="B10" s="37">
        <v>7</v>
      </c>
      <c r="C10" s="37">
        <v>6.5361000000000002</v>
      </c>
      <c r="D10" s="37">
        <v>6.7324999999999999</v>
      </c>
      <c r="E10" s="37">
        <v>7.8776000000000002</v>
      </c>
      <c r="F10" s="37">
        <v>7.8243999999999998</v>
      </c>
      <c r="G10" s="37">
        <v>7.2037000000000004</v>
      </c>
      <c r="H10" s="37">
        <v>6.9949000000000003</v>
      </c>
      <c r="I10" s="37">
        <v>6.6010999999999997</v>
      </c>
      <c r="J10" s="37">
        <v>6.5396999999999998</v>
      </c>
      <c r="K10" s="37">
        <v>6.4782999999999999</v>
      </c>
      <c r="L10" s="37">
        <v>6.3125</v>
      </c>
      <c r="M10" s="37">
        <v>5.8735999999999997</v>
      </c>
      <c r="N10" s="37">
        <v>5.7483000000000004</v>
      </c>
      <c r="O10" s="38">
        <f t="shared" si="0"/>
        <v>5.7483000000000006E-2</v>
      </c>
      <c r="P10" s="39">
        <f t="shared" si="1"/>
        <v>6.7268916666666664E-2</v>
      </c>
      <c r="R10" s="37">
        <v>7</v>
      </c>
      <c r="S10" s="37">
        <v>5.8811</v>
      </c>
      <c r="T10" s="37">
        <v>6.2766999999999999</v>
      </c>
      <c r="U10" s="37">
        <v>6.4625000000000004</v>
      </c>
      <c r="V10" s="37">
        <v>6.2306999999999997</v>
      </c>
      <c r="W10" s="37">
        <v>6.1223000000000001</v>
      </c>
      <c r="X10" s="37">
        <v>6.0986000000000002</v>
      </c>
      <c r="Y10" s="37">
        <v>5.8244999999999996</v>
      </c>
      <c r="Z10" s="37">
        <v>5.718</v>
      </c>
      <c r="AA10" s="37">
        <v>5.8049999999999997</v>
      </c>
      <c r="AB10" s="37">
        <v>5.7847</v>
      </c>
      <c r="AC10" s="37">
        <v>5.8368000000000002</v>
      </c>
      <c r="AD10" s="37">
        <v>5.9554</v>
      </c>
      <c r="AE10" s="38">
        <f t="shared" si="2"/>
        <v>5.9554000000000003E-2</v>
      </c>
      <c r="AF10" s="39">
        <f t="shared" si="3"/>
        <v>5.9996916666666671E-2</v>
      </c>
      <c r="AH10" s="37">
        <v>7</v>
      </c>
      <c r="AI10" s="37">
        <v>6.1581320000000002</v>
      </c>
      <c r="AJ10" s="37">
        <v>6.1562999999999999</v>
      </c>
      <c r="AK10" s="37">
        <v>6.4057000000000004</v>
      </c>
      <c r="AL10" s="37">
        <v>6.7884190000000002</v>
      </c>
      <c r="AM10" s="37">
        <v>6.9471999999999996</v>
      </c>
      <c r="AN10" s="37">
        <v>7.0113000000000003</v>
      </c>
      <c r="AO10" s="37">
        <v>7.0332999999999997</v>
      </c>
      <c r="AP10" s="37">
        <v>7.0129000000000001</v>
      </c>
      <c r="AQ10" s="37">
        <v>7.2584</v>
      </c>
      <c r="AR10" s="37">
        <v>7.4668999999999999</v>
      </c>
      <c r="AS10" s="37">
        <v>6.9352999999999998</v>
      </c>
      <c r="AT10" s="37">
        <v>6.8003999999999998</v>
      </c>
      <c r="AU10" s="38">
        <f t="shared" si="4"/>
        <v>6.8003999999999995E-2</v>
      </c>
      <c r="AV10" s="39">
        <f t="shared" si="5"/>
        <v>6.8311875833333327E-2</v>
      </c>
      <c r="AY10" s="37">
        <v>7</v>
      </c>
      <c r="AZ10" s="37">
        <v>6.5130999999999997</v>
      </c>
      <c r="BA10" s="37">
        <v>6.7229000000000001</v>
      </c>
      <c r="BB10" s="37">
        <v>6.5881270000000001</v>
      </c>
      <c r="BC10" s="37">
        <v>6.4946619999999999</v>
      </c>
      <c r="BD10" s="37">
        <v>6.2724000000000002</v>
      </c>
      <c r="BE10" s="37">
        <v>6.1646000000000001</v>
      </c>
      <c r="BF10" s="37">
        <v>6.1917999999999997</v>
      </c>
      <c r="BG10" s="37">
        <v>6.3422999999999998</v>
      </c>
      <c r="BH10" s="37">
        <v>6.6990999999999996</v>
      </c>
      <c r="BI10" s="37">
        <v>7.1592000000000002</v>
      </c>
      <c r="BJ10" s="37">
        <v>6.6985000000000001</v>
      </c>
      <c r="BK10" s="37">
        <v>6.5265000000000004</v>
      </c>
      <c r="BL10" s="38">
        <f t="shared" si="6"/>
        <v>6.5265000000000004E-2</v>
      </c>
      <c r="BM10" s="39">
        <f t="shared" si="7"/>
        <v>6.5310990833333332E-2</v>
      </c>
      <c r="BO10" s="37">
        <v>7</v>
      </c>
      <c r="BP10" s="37">
        <v>6.5266999999999999</v>
      </c>
      <c r="BQ10" s="37">
        <v>6.5548000000000002</v>
      </c>
      <c r="BR10" s="37">
        <v>6.6284999999999998</v>
      </c>
      <c r="BS10" s="37">
        <v>7.1077000000000004</v>
      </c>
      <c r="BT10" s="37">
        <v>6.8662000000000001</v>
      </c>
      <c r="BU10" s="37">
        <v>7.0237999999999996</v>
      </c>
      <c r="BV10" s="37">
        <v>6.8422000000000001</v>
      </c>
      <c r="BW10" s="37">
        <v>6.601</v>
      </c>
      <c r="BX10" s="37">
        <v>6.3692000000000002</v>
      </c>
      <c r="BY10" s="37">
        <v>6.7557999999999998</v>
      </c>
      <c r="BZ10" s="37">
        <v>6.8566000000000003</v>
      </c>
      <c r="CA10" s="37">
        <v>7.0312000000000001</v>
      </c>
      <c r="CB10" s="38">
        <f t="shared" si="8"/>
        <v>7.0311999999999999E-2</v>
      </c>
      <c r="CC10" s="39">
        <f t="shared" si="9"/>
        <v>6.7636416666666657E-2</v>
      </c>
      <c r="CE10" s="37">
        <v>7</v>
      </c>
      <c r="CF10" s="37">
        <v>7.2555839999999998</v>
      </c>
      <c r="CG10" s="37">
        <v>7.1143600000000005</v>
      </c>
      <c r="CH10" s="37">
        <v>7.2734419999999993</v>
      </c>
      <c r="CI10" s="37">
        <v>7.0303509999999996</v>
      </c>
      <c r="CJ10" s="37">
        <v>6.9641169999999999</v>
      </c>
      <c r="CK10" s="37">
        <v>6.8513700000000011</v>
      </c>
      <c r="CL10" s="37">
        <v>6.7490519999999998</v>
      </c>
      <c r="CM10" s="37">
        <v>6.4730229999999995</v>
      </c>
      <c r="CN10" s="37">
        <v>6.4015760000000004</v>
      </c>
      <c r="CO10" s="37">
        <v>6.1600619999999999</v>
      </c>
      <c r="CP10" s="37">
        <v>6.416817</v>
      </c>
      <c r="CQ10" s="37">
        <v>6.3069010000000008</v>
      </c>
      <c r="CR10" s="38">
        <f t="shared" si="10"/>
        <v>6.3069010000000009E-2</v>
      </c>
      <c r="CS10" s="39">
        <f t="shared" si="11"/>
        <v>6.7497212500000001E-2</v>
      </c>
    </row>
    <row r="11" spans="2:97" x14ac:dyDescent="0.3">
      <c r="B11" s="37">
        <v>8</v>
      </c>
      <c r="C11" s="37">
        <v>6.6764999999999999</v>
      </c>
      <c r="D11" s="37">
        <v>6.9181999999999997</v>
      </c>
      <c r="E11" s="37">
        <v>8.0152000000000001</v>
      </c>
      <c r="F11" s="37">
        <v>7.9192</v>
      </c>
      <c r="G11" s="37">
        <v>7.3324999999999996</v>
      </c>
      <c r="H11" s="37">
        <v>7.141</v>
      </c>
      <c r="I11" s="37">
        <v>6.7773000000000003</v>
      </c>
      <c r="J11" s="37">
        <v>6.7381500000000001</v>
      </c>
      <c r="K11" s="37">
        <v>6.6989999999999998</v>
      </c>
      <c r="L11" s="37">
        <v>6.5304000000000002</v>
      </c>
      <c r="M11" s="37">
        <v>6.0841000000000003</v>
      </c>
      <c r="N11" s="37">
        <v>5.9131999999999998</v>
      </c>
      <c r="O11" s="38">
        <f t="shared" si="0"/>
        <v>5.9131999999999997E-2</v>
      </c>
      <c r="P11" s="39">
        <f t="shared" si="1"/>
        <v>6.8953958333333343E-2</v>
      </c>
      <c r="R11" s="37">
        <v>8</v>
      </c>
      <c r="S11" s="37">
        <v>6.0762999999999998</v>
      </c>
      <c r="T11" s="37">
        <v>6.4569000000000001</v>
      </c>
      <c r="U11" s="37">
        <v>6.6342999999999996</v>
      </c>
      <c r="V11" s="37">
        <v>6.4009</v>
      </c>
      <c r="W11" s="37">
        <v>6.3002000000000002</v>
      </c>
      <c r="X11" s="37">
        <v>6.3109000000000002</v>
      </c>
      <c r="Y11" s="37">
        <v>6.0522</v>
      </c>
      <c r="Z11" s="37">
        <v>5.9253</v>
      </c>
      <c r="AA11" s="37">
        <v>6.0387000000000004</v>
      </c>
      <c r="AB11" s="37">
        <v>6.0111999999999997</v>
      </c>
      <c r="AC11" s="37">
        <v>6.07</v>
      </c>
      <c r="AD11" s="37">
        <v>6.1914999999999996</v>
      </c>
      <c r="AE11" s="38">
        <f t="shared" si="2"/>
        <v>6.1914999999999998E-2</v>
      </c>
      <c r="AF11" s="39">
        <f t="shared" si="3"/>
        <v>6.2057000000000008E-2</v>
      </c>
      <c r="AH11" s="37">
        <v>8</v>
      </c>
      <c r="AI11" s="37">
        <v>6.3747769999999999</v>
      </c>
      <c r="AJ11" s="37">
        <v>6.3606999999999996</v>
      </c>
      <c r="AK11" s="37">
        <v>6.6207000000000003</v>
      </c>
      <c r="AL11" s="37">
        <v>6.9293329999999997</v>
      </c>
      <c r="AM11" s="37">
        <v>7.0994000000000002</v>
      </c>
      <c r="AN11" s="37">
        <v>7.1643999999999997</v>
      </c>
      <c r="AO11" s="37">
        <v>7.1489000000000003</v>
      </c>
      <c r="AP11" s="37">
        <v>7.0848000000000004</v>
      </c>
      <c r="AQ11" s="37">
        <v>7.3358999999999996</v>
      </c>
      <c r="AR11" s="37">
        <v>7.5244000000000009</v>
      </c>
      <c r="AS11" s="37">
        <v>7.0136000000000003</v>
      </c>
      <c r="AT11" s="37">
        <v>6.8822999999999999</v>
      </c>
      <c r="AU11" s="38">
        <f t="shared" si="4"/>
        <v>6.8822999999999995E-2</v>
      </c>
      <c r="AV11" s="39">
        <f t="shared" si="5"/>
        <v>6.9616008333333326E-2</v>
      </c>
      <c r="AY11" s="37">
        <v>8</v>
      </c>
      <c r="AZ11" s="37">
        <v>6.5875000000000004</v>
      </c>
      <c r="BA11" s="37">
        <v>6.8052000000000001</v>
      </c>
      <c r="BB11" s="37">
        <v>6.6622060000000003</v>
      </c>
      <c r="BC11" s="37">
        <v>6.5744319999999998</v>
      </c>
      <c r="BD11" s="37">
        <v>6.3467000000000002</v>
      </c>
      <c r="BE11" s="37">
        <v>6.2293000000000003</v>
      </c>
      <c r="BF11" s="37">
        <v>6.2481999999999998</v>
      </c>
      <c r="BG11" s="37">
        <v>6.3876999999999997</v>
      </c>
      <c r="BH11" s="37">
        <v>6.7662000000000004</v>
      </c>
      <c r="BI11" s="37">
        <v>7.1767000000000003</v>
      </c>
      <c r="BJ11" s="37">
        <v>6.7171000000000003</v>
      </c>
      <c r="BK11" s="37">
        <v>6.5510999999999999</v>
      </c>
      <c r="BL11" s="38">
        <f t="shared" si="6"/>
        <v>6.5511E-2</v>
      </c>
      <c r="BM11" s="39">
        <f t="shared" si="7"/>
        <v>6.5876948333333338E-2</v>
      </c>
      <c r="BO11" s="37">
        <v>8</v>
      </c>
      <c r="BP11" s="37">
        <v>6.5673000000000004</v>
      </c>
      <c r="BQ11" s="37">
        <v>6.5934999999999997</v>
      </c>
      <c r="BR11" s="37">
        <v>6.6620999999999997</v>
      </c>
      <c r="BS11" s="37">
        <v>7.1150000000000002</v>
      </c>
      <c r="BT11" s="37">
        <v>6.8860000000000001</v>
      </c>
      <c r="BU11" s="37">
        <v>7.0442</v>
      </c>
      <c r="BV11" s="37">
        <v>6.8788</v>
      </c>
      <c r="BW11" s="37">
        <v>6.6311999999999998</v>
      </c>
      <c r="BX11" s="37">
        <v>6.4185999999999996</v>
      </c>
      <c r="BY11" s="37">
        <v>6.8022</v>
      </c>
      <c r="BZ11" s="37">
        <v>6.8913000000000002</v>
      </c>
      <c r="CA11" s="37">
        <v>7.0450999999999997</v>
      </c>
      <c r="CB11" s="38">
        <f t="shared" si="8"/>
        <v>7.0451E-2</v>
      </c>
      <c r="CC11" s="39">
        <f t="shared" si="9"/>
        <v>6.7946083333333337E-2</v>
      </c>
      <c r="CE11" s="37">
        <v>8</v>
      </c>
      <c r="CF11" s="37">
        <v>7.3244599999999993</v>
      </c>
      <c r="CG11" s="37">
        <v>7.1748570000000012</v>
      </c>
      <c r="CH11" s="37">
        <v>7.3468330000000002</v>
      </c>
      <c r="CI11" s="37">
        <v>7.1136920000000003</v>
      </c>
      <c r="CJ11" s="37">
        <v>7.060061000000001</v>
      </c>
      <c r="CK11" s="37">
        <v>6.9519960000000003</v>
      </c>
      <c r="CL11" s="37">
        <v>6.8606090000000011</v>
      </c>
      <c r="CM11" s="37">
        <v>6.6325839999999996</v>
      </c>
      <c r="CN11" s="37">
        <v>6.6077220000000008</v>
      </c>
      <c r="CO11" s="37">
        <v>6.3115130000000006</v>
      </c>
      <c r="CP11" s="37">
        <v>6.5277360000000009</v>
      </c>
      <c r="CQ11" s="37">
        <v>6.4333719999999994</v>
      </c>
      <c r="CR11" s="38">
        <f t="shared" si="10"/>
        <v>6.4333719999999997E-2</v>
      </c>
      <c r="CS11" s="39">
        <f t="shared" si="11"/>
        <v>6.8621195833333357E-2</v>
      </c>
    </row>
    <row r="12" spans="2:97" x14ac:dyDescent="0.3">
      <c r="B12" s="37">
        <v>9</v>
      </c>
      <c r="C12" s="37">
        <v>6.8072999999999997</v>
      </c>
      <c r="D12" s="37">
        <v>7.0757000000000003</v>
      </c>
      <c r="E12" s="37">
        <v>8.1233000000000004</v>
      </c>
      <c r="F12" s="37">
        <v>7.9894999999999996</v>
      </c>
      <c r="G12" s="37">
        <v>7.4596999999999998</v>
      </c>
      <c r="H12" s="37">
        <v>7.2721999999999998</v>
      </c>
      <c r="I12" s="37">
        <v>6.9273999999999996</v>
      </c>
      <c r="J12" s="37">
        <v>6.9064499999999995</v>
      </c>
      <c r="K12" s="37">
        <v>6.8855000000000004</v>
      </c>
      <c r="L12" s="37">
        <v>6.7148000000000003</v>
      </c>
      <c r="M12" s="37">
        <v>6.2742000000000004</v>
      </c>
      <c r="N12" s="37">
        <v>6.0556000000000001</v>
      </c>
      <c r="O12" s="38">
        <f t="shared" si="0"/>
        <v>6.0555999999999999E-2</v>
      </c>
      <c r="P12" s="39">
        <f t="shared" si="1"/>
        <v>7.0409708333333321E-2</v>
      </c>
      <c r="R12" s="37">
        <v>9</v>
      </c>
      <c r="S12" s="37">
        <v>6.2497999999999996</v>
      </c>
      <c r="T12" s="37">
        <v>6.61</v>
      </c>
      <c r="U12" s="37">
        <v>6.7815000000000003</v>
      </c>
      <c r="V12" s="37">
        <v>6.5484</v>
      </c>
      <c r="W12" s="37">
        <v>6.4535999999999998</v>
      </c>
      <c r="X12" s="37">
        <v>6.4951999999999996</v>
      </c>
      <c r="Y12" s="37">
        <v>6.2545000000000002</v>
      </c>
      <c r="Z12" s="37">
        <v>6.1111000000000004</v>
      </c>
      <c r="AA12" s="37">
        <v>6.2464000000000004</v>
      </c>
      <c r="AB12" s="37">
        <v>6.2104999999999997</v>
      </c>
      <c r="AC12" s="37">
        <v>6.2649999999999997</v>
      </c>
      <c r="AD12" s="37">
        <v>6.3860999999999999</v>
      </c>
      <c r="AE12" s="38">
        <f t="shared" si="2"/>
        <v>6.3861000000000001E-2</v>
      </c>
      <c r="AF12" s="39">
        <f t="shared" si="3"/>
        <v>6.3843416666666666E-2</v>
      </c>
      <c r="AH12" s="37">
        <v>9</v>
      </c>
      <c r="AI12" s="37">
        <v>6.5458119999999997</v>
      </c>
      <c r="AJ12" s="37">
        <v>6.5229999999999997</v>
      </c>
      <c r="AK12" s="37">
        <v>6.7889000000000008</v>
      </c>
      <c r="AL12" s="37">
        <v>7.0374610000000004</v>
      </c>
      <c r="AM12" s="37">
        <v>7.2176</v>
      </c>
      <c r="AN12" s="37">
        <v>7.2781000000000002</v>
      </c>
      <c r="AO12" s="37">
        <v>7.2365000000000004</v>
      </c>
      <c r="AP12" s="37">
        <v>7.1265999999999998</v>
      </c>
      <c r="AQ12" s="37">
        <v>7.3846999999999996</v>
      </c>
      <c r="AR12" s="37">
        <v>7.5623999999999993</v>
      </c>
      <c r="AS12" s="37">
        <v>7.0751999999999997</v>
      </c>
      <c r="AT12" s="37">
        <v>6.9504999999999999</v>
      </c>
      <c r="AU12" s="38">
        <f t="shared" si="4"/>
        <v>6.9504999999999997E-2</v>
      </c>
      <c r="AV12" s="39">
        <f t="shared" si="5"/>
        <v>7.0605644166666676E-2</v>
      </c>
      <c r="AY12" s="37">
        <v>9</v>
      </c>
      <c r="AZ12" s="37">
        <v>6.6569000000000003</v>
      </c>
      <c r="BA12" s="37">
        <v>6.8756000000000004</v>
      </c>
      <c r="BB12" s="37">
        <v>6.732297</v>
      </c>
      <c r="BC12" s="37">
        <v>6.6489529999999997</v>
      </c>
      <c r="BD12" s="37">
        <v>6.4131999999999998</v>
      </c>
      <c r="BE12" s="37">
        <v>6.2892999999999999</v>
      </c>
      <c r="BF12" s="37">
        <v>6.3010000000000002</v>
      </c>
      <c r="BG12" s="37">
        <v>6.4322999999999997</v>
      </c>
      <c r="BH12" s="37">
        <v>6.8201000000000001</v>
      </c>
      <c r="BI12" s="37">
        <v>7.1901000000000002</v>
      </c>
      <c r="BJ12" s="37">
        <v>6.7355</v>
      </c>
      <c r="BK12" s="37">
        <v>6.5753000000000004</v>
      </c>
      <c r="BL12" s="38">
        <f t="shared" si="6"/>
        <v>6.5753000000000006E-2</v>
      </c>
      <c r="BM12" s="39">
        <f t="shared" si="7"/>
        <v>6.6392124999999996E-2</v>
      </c>
      <c r="BO12" s="37">
        <v>9</v>
      </c>
      <c r="BP12" s="37">
        <v>6.6058000000000003</v>
      </c>
      <c r="BQ12" s="37">
        <v>6.6292999999999997</v>
      </c>
      <c r="BR12" s="37">
        <v>6.6938000000000004</v>
      </c>
      <c r="BS12" s="37">
        <v>7.1201999999999996</v>
      </c>
      <c r="BT12" s="37">
        <v>6.9047999999999998</v>
      </c>
      <c r="BU12" s="37">
        <v>7.0559000000000003</v>
      </c>
      <c r="BV12" s="37">
        <v>6.9123000000000001</v>
      </c>
      <c r="BW12" s="37">
        <v>6.6586999999999996</v>
      </c>
      <c r="BX12" s="37">
        <v>6.4675000000000002</v>
      </c>
      <c r="BY12" s="37">
        <v>6.8419999999999996</v>
      </c>
      <c r="BZ12" s="37">
        <v>6.9218000000000002</v>
      </c>
      <c r="CA12" s="37">
        <v>7.0580000000000007</v>
      </c>
      <c r="CB12" s="38">
        <f t="shared" si="8"/>
        <v>7.0580000000000004E-2</v>
      </c>
      <c r="CC12" s="39">
        <f t="shared" si="9"/>
        <v>6.8225083333333339E-2</v>
      </c>
      <c r="CE12" s="37">
        <v>9</v>
      </c>
      <c r="CF12" s="37">
        <v>7.3822169999999989</v>
      </c>
      <c r="CG12" s="37">
        <v>7.2272260000000008</v>
      </c>
      <c r="CH12" s="37">
        <v>7.4020760000000001</v>
      </c>
      <c r="CI12" s="37">
        <v>7.1853859999999994</v>
      </c>
      <c r="CJ12" s="37">
        <v>7.1409299999999991</v>
      </c>
      <c r="CK12" s="37">
        <v>7.0413769999999998</v>
      </c>
      <c r="CL12" s="37">
        <v>6.9564459999999997</v>
      </c>
      <c r="CM12" s="37">
        <v>6.7756770000000008</v>
      </c>
      <c r="CN12" s="37">
        <v>6.7880920000000007</v>
      </c>
      <c r="CO12" s="37">
        <v>6.4463039999999996</v>
      </c>
      <c r="CP12" s="37">
        <v>6.6204940000000008</v>
      </c>
      <c r="CQ12" s="37">
        <v>6.5417920000000001</v>
      </c>
      <c r="CR12" s="38">
        <f t="shared" si="10"/>
        <v>6.5417920000000004E-2</v>
      </c>
      <c r="CS12" s="39">
        <f t="shared" si="11"/>
        <v>6.9590014166666672E-2</v>
      </c>
    </row>
    <row r="13" spans="2:97" x14ac:dyDescent="0.3">
      <c r="B13" s="37">
        <v>10</v>
      </c>
      <c r="C13" s="37">
        <v>6.9278000000000004</v>
      </c>
      <c r="D13" s="37">
        <v>7.2074999999999996</v>
      </c>
      <c r="E13" s="37">
        <v>8.2073999999999998</v>
      </c>
      <c r="F13" s="37">
        <v>8.0427</v>
      </c>
      <c r="G13" s="37">
        <v>7.5792999999999999</v>
      </c>
      <c r="H13" s="37">
        <v>7.3879999999999999</v>
      </c>
      <c r="I13" s="37">
        <v>7.0555000000000003</v>
      </c>
      <c r="J13" s="37">
        <v>7.0483500000000001</v>
      </c>
      <c r="K13" s="37">
        <v>7.0411999999999999</v>
      </c>
      <c r="L13" s="37">
        <v>6.8699000000000003</v>
      </c>
      <c r="M13" s="37">
        <v>6.4433999999999996</v>
      </c>
      <c r="N13" s="37">
        <v>6.1801000000000004</v>
      </c>
      <c r="O13" s="38">
        <f t="shared" si="0"/>
        <v>6.1801000000000002E-2</v>
      </c>
      <c r="P13" s="39">
        <f t="shared" si="1"/>
        <v>7.1659291666666652E-2</v>
      </c>
      <c r="R13" s="37">
        <v>10</v>
      </c>
      <c r="S13" s="37">
        <v>6.4009999999999998</v>
      </c>
      <c r="T13" s="37">
        <v>6.7393999999999998</v>
      </c>
      <c r="U13" s="37">
        <v>6.9086999999999996</v>
      </c>
      <c r="V13" s="37">
        <v>6.6773999999999996</v>
      </c>
      <c r="W13" s="37">
        <v>6.5873999999999997</v>
      </c>
      <c r="X13" s="37">
        <v>6.6539000000000001</v>
      </c>
      <c r="Y13" s="37">
        <v>6.4313000000000002</v>
      </c>
      <c r="Z13" s="37">
        <v>6.2763999999999998</v>
      </c>
      <c r="AA13" s="37">
        <v>6.4265999999999996</v>
      </c>
      <c r="AB13" s="37">
        <v>6.3838999999999997</v>
      </c>
      <c r="AC13" s="37">
        <v>6.4268999999999998</v>
      </c>
      <c r="AD13" s="37">
        <v>6.5449999999999999</v>
      </c>
      <c r="AE13" s="38">
        <f t="shared" si="2"/>
        <v>6.5449999999999994E-2</v>
      </c>
      <c r="AF13" s="39">
        <f t="shared" si="3"/>
        <v>6.538158333333334E-2</v>
      </c>
      <c r="AH13" s="37">
        <v>10</v>
      </c>
      <c r="AI13" s="37">
        <v>6.6798289999999998</v>
      </c>
      <c r="AJ13" s="37">
        <v>6.6509999999999998</v>
      </c>
      <c r="AK13" s="37">
        <v>6.9182999999999995</v>
      </c>
      <c r="AL13" s="37">
        <v>7.1187480000000001</v>
      </c>
      <c r="AM13" s="37">
        <v>7.3093000000000004</v>
      </c>
      <c r="AN13" s="37">
        <v>7.3623000000000003</v>
      </c>
      <c r="AO13" s="37">
        <v>7.3010999999999999</v>
      </c>
      <c r="AP13" s="37">
        <v>7.1497999999999999</v>
      </c>
      <c r="AQ13" s="37">
        <v>7.4142000000000001</v>
      </c>
      <c r="AR13" s="37">
        <v>7.5861999999999998</v>
      </c>
      <c r="AS13" s="37">
        <v>7.1218000000000004</v>
      </c>
      <c r="AT13" s="37">
        <v>7.0076999999999998</v>
      </c>
      <c r="AU13" s="38">
        <f t="shared" si="4"/>
        <v>7.0077E-2</v>
      </c>
      <c r="AV13" s="39">
        <f t="shared" si="5"/>
        <v>7.135023083333332E-2</v>
      </c>
      <c r="AY13" s="37">
        <v>10</v>
      </c>
      <c r="AZ13" s="37">
        <v>6.7202000000000002</v>
      </c>
      <c r="BA13" s="37">
        <v>6.9325999999999999</v>
      </c>
      <c r="BB13" s="37">
        <v>6.795604</v>
      </c>
      <c r="BC13" s="37">
        <v>6.7151199999999998</v>
      </c>
      <c r="BD13" s="37">
        <v>6.4724000000000004</v>
      </c>
      <c r="BE13" s="37">
        <v>6.3449</v>
      </c>
      <c r="BF13" s="37">
        <v>6.3498000000000001</v>
      </c>
      <c r="BG13" s="37">
        <v>6.4748000000000001</v>
      </c>
      <c r="BH13" s="37">
        <v>6.8620000000000001</v>
      </c>
      <c r="BI13" s="37">
        <v>7.2001999999999997</v>
      </c>
      <c r="BJ13" s="37">
        <v>6.7539999999999996</v>
      </c>
      <c r="BK13" s="37">
        <v>6.5991</v>
      </c>
      <c r="BL13" s="38">
        <f t="shared" si="6"/>
        <v>6.5990999999999994E-2</v>
      </c>
      <c r="BM13" s="39">
        <f t="shared" si="7"/>
        <v>6.6850603333333355E-2</v>
      </c>
      <c r="BO13" s="37">
        <v>10</v>
      </c>
      <c r="BP13" s="37">
        <v>6.6420000000000003</v>
      </c>
      <c r="BQ13" s="37">
        <v>6.6624999999999996</v>
      </c>
      <c r="BR13" s="37">
        <v>6.7239000000000004</v>
      </c>
      <c r="BS13" s="37">
        <v>7.1237000000000004</v>
      </c>
      <c r="BT13" s="37">
        <v>6.9215</v>
      </c>
      <c r="BU13" s="37">
        <v>7.0622999999999996</v>
      </c>
      <c r="BV13" s="37">
        <v>6.9420000000000002</v>
      </c>
      <c r="BW13" s="37">
        <v>6.6833999999999998</v>
      </c>
      <c r="BX13" s="37">
        <v>6.5145999999999997</v>
      </c>
      <c r="BY13" s="37">
        <v>6.875</v>
      </c>
      <c r="BZ13" s="37">
        <v>6.9480000000000004</v>
      </c>
      <c r="CA13" s="37">
        <v>7.069399999999999</v>
      </c>
      <c r="CB13" s="38">
        <f t="shared" si="8"/>
        <v>7.0693999999999993E-2</v>
      </c>
      <c r="CC13" s="39">
        <f t="shared" si="9"/>
        <v>6.8473583333333352E-2</v>
      </c>
      <c r="CE13" s="37">
        <v>10</v>
      </c>
      <c r="CF13" s="37">
        <v>7.4284249999999998</v>
      </c>
      <c r="CG13" s="37">
        <v>7.2714779999999992</v>
      </c>
      <c r="CH13" s="37">
        <v>7.4415140000000006</v>
      </c>
      <c r="CI13" s="37">
        <v>7.2454700000000001</v>
      </c>
      <c r="CJ13" s="37">
        <v>7.2073560000000008</v>
      </c>
      <c r="CK13" s="37">
        <v>7.1192759999999993</v>
      </c>
      <c r="CL13" s="37">
        <v>7.0376629999999993</v>
      </c>
      <c r="CM13" s="37">
        <v>6.9010620000000005</v>
      </c>
      <c r="CN13" s="37">
        <v>6.9414069999999999</v>
      </c>
      <c r="CO13" s="37">
        <v>6.5648479999999996</v>
      </c>
      <c r="CP13" s="37">
        <v>6.6981360000000008</v>
      </c>
      <c r="CQ13" s="37">
        <v>6.6344130000000003</v>
      </c>
      <c r="CR13" s="38">
        <f t="shared" si="10"/>
        <v>6.6344130000000001E-2</v>
      </c>
      <c r="CS13" s="39">
        <f t="shared" si="11"/>
        <v>7.0409206666666668E-2</v>
      </c>
    </row>
    <row r="14" spans="2:97" x14ac:dyDescent="0.3">
      <c r="B14" s="37">
        <v>11</v>
      </c>
      <c r="C14" s="37">
        <v>7.0373000000000001</v>
      </c>
      <c r="D14" s="37">
        <v>7.3163</v>
      </c>
      <c r="E14" s="37">
        <v>8.2720000000000002</v>
      </c>
      <c r="F14" s="37">
        <v>8.0837000000000003</v>
      </c>
      <c r="G14" s="37">
        <v>7.6871999999999998</v>
      </c>
      <c r="H14" s="37">
        <v>7.4882</v>
      </c>
      <c r="I14" s="37">
        <v>7.1646999999999998</v>
      </c>
      <c r="J14" s="37">
        <v>7.1673</v>
      </c>
      <c r="K14" s="37">
        <v>7.1699000000000002</v>
      </c>
      <c r="L14" s="37">
        <v>6.9993999999999996</v>
      </c>
      <c r="M14" s="37">
        <v>6.5917000000000003</v>
      </c>
      <c r="N14" s="37">
        <v>6.2900999999999998</v>
      </c>
      <c r="O14" s="38">
        <f t="shared" si="0"/>
        <v>6.2900999999999999E-2</v>
      </c>
      <c r="P14" s="39">
        <f t="shared" si="1"/>
        <v>7.2723166666666644E-2</v>
      </c>
      <c r="R14" s="37">
        <v>11</v>
      </c>
      <c r="S14" s="37">
        <v>6.5301</v>
      </c>
      <c r="T14" s="37">
        <v>6.8483000000000001</v>
      </c>
      <c r="U14" s="37">
        <v>7.0187999999999997</v>
      </c>
      <c r="V14" s="37">
        <v>6.7907000000000002</v>
      </c>
      <c r="W14" s="37">
        <v>6.7050999999999998</v>
      </c>
      <c r="X14" s="37">
        <v>6.7892000000000001</v>
      </c>
      <c r="Y14" s="37">
        <v>6.5831</v>
      </c>
      <c r="Z14" s="37">
        <v>6.4218000000000002</v>
      </c>
      <c r="AA14" s="37">
        <v>6.5796999999999999</v>
      </c>
      <c r="AB14" s="37">
        <v>6.5331000000000001</v>
      </c>
      <c r="AC14" s="37">
        <v>6.5603999999999996</v>
      </c>
      <c r="AD14" s="37">
        <v>6.6740000000000004</v>
      </c>
      <c r="AE14" s="38">
        <f t="shared" si="2"/>
        <v>6.6740000000000008E-2</v>
      </c>
      <c r="AF14" s="39">
        <f t="shared" si="3"/>
        <v>6.6695250000000011E-2</v>
      </c>
      <c r="AH14" s="37">
        <v>11</v>
      </c>
      <c r="AI14" s="37">
        <v>6.7841609999999992</v>
      </c>
      <c r="AJ14" s="37">
        <v>6.7513000000000005</v>
      </c>
      <c r="AK14" s="37">
        <v>7.0162000000000004</v>
      </c>
      <c r="AL14" s="37">
        <v>7.1786950000000003</v>
      </c>
      <c r="AM14" s="37">
        <v>7.3804999999999996</v>
      </c>
      <c r="AN14" s="37">
        <v>7.4242999999999997</v>
      </c>
      <c r="AO14" s="37">
        <v>7.3478000000000003</v>
      </c>
      <c r="AP14" s="37">
        <v>7.1623999999999999</v>
      </c>
      <c r="AQ14" s="37">
        <v>7.4314</v>
      </c>
      <c r="AR14" s="37">
        <v>7.6007000000000007</v>
      </c>
      <c r="AS14" s="37">
        <v>7.1558000000000002</v>
      </c>
      <c r="AT14" s="37">
        <v>7.0555000000000003</v>
      </c>
      <c r="AU14" s="38">
        <f t="shared" si="4"/>
        <v>7.0555000000000007E-2</v>
      </c>
      <c r="AV14" s="39">
        <f t="shared" si="5"/>
        <v>7.1907296666666662E-2</v>
      </c>
      <c r="AY14" s="37">
        <v>11</v>
      </c>
      <c r="AZ14" s="37">
        <v>6.7766999999999999</v>
      </c>
      <c r="BA14" s="37">
        <v>6.9767999999999999</v>
      </c>
      <c r="BB14" s="37">
        <v>6.8506669999999996</v>
      </c>
      <c r="BC14" s="37">
        <v>6.771617</v>
      </c>
      <c r="BD14" s="37">
        <v>6.5247999999999999</v>
      </c>
      <c r="BE14" s="37">
        <v>6.3960999999999997</v>
      </c>
      <c r="BF14" s="37">
        <v>6.3944999999999999</v>
      </c>
      <c r="BG14" s="37">
        <v>6.5144000000000002</v>
      </c>
      <c r="BH14" s="37">
        <v>6.8936000000000002</v>
      </c>
      <c r="BI14" s="37">
        <v>7.2074999999999996</v>
      </c>
      <c r="BJ14" s="37">
        <v>6.7725</v>
      </c>
      <c r="BK14" s="37">
        <v>6.6223000000000001</v>
      </c>
      <c r="BL14" s="38">
        <f t="shared" si="6"/>
        <v>6.6223000000000004E-2</v>
      </c>
      <c r="BM14" s="39">
        <f t="shared" si="7"/>
        <v>6.7251236666666644E-2</v>
      </c>
      <c r="BO14" s="37">
        <v>11</v>
      </c>
      <c r="BP14" s="37">
        <v>6.6756000000000002</v>
      </c>
      <c r="BQ14" s="37">
        <v>6.6929999999999996</v>
      </c>
      <c r="BR14" s="37">
        <v>6.7525000000000004</v>
      </c>
      <c r="BS14" s="37">
        <v>7.1257999999999999</v>
      </c>
      <c r="BT14" s="37">
        <v>6.9356999999999998</v>
      </c>
      <c r="BU14" s="37">
        <v>7.0656999999999996</v>
      </c>
      <c r="BV14" s="37">
        <v>6.9619999999999997</v>
      </c>
      <c r="BW14" s="37">
        <v>6.7054</v>
      </c>
      <c r="BX14" s="37">
        <v>6.5590999999999999</v>
      </c>
      <c r="BY14" s="37">
        <v>6.9016999999999999</v>
      </c>
      <c r="BZ14" s="37">
        <v>6.9702000000000002</v>
      </c>
      <c r="CA14" s="37">
        <v>7.0789000000000009</v>
      </c>
      <c r="CB14" s="38">
        <f t="shared" si="8"/>
        <v>7.0789000000000005E-2</v>
      </c>
      <c r="CC14" s="39">
        <f t="shared" si="9"/>
        <v>6.8688000000000013E-2</v>
      </c>
      <c r="CE14" s="37">
        <v>11</v>
      </c>
      <c r="CF14" s="37">
        <v>7.4284249999999998</v>
      </c>
      <c r="CG14" s="37">
        <v>7.2714779999999992</v>
      </c>
      <c r="CH14" s="37">
        <v>7.4415140000000006</v>
      </c>
      <c r="CI14" s="37">
        <v>7.2454700000000001</v>
      </c>
      <c r="CJ14" s="37">
        <v>7.2073560000000008</v>
      </c>
      <c r="CK14" s="37">
        <v>7.1192759999999993</v>
      </c>
      <c r="CL14" s="37">
        <v>7.0376629999999993</v>
      </c>
      <c r="CM14" s="37">
        <v>6.9010620000000005</v>
      </c>
      <c r="CN14" s="37">
        <v>6.9414069999999999</v>
      </c>
      <c r="CO14" s="37">
        <v>6.5648479999999996</v>
      </c>
      <c r="CP14" s="37">
        <v>6.6981360000000008</v>
      </c>
      <c r="CQ14" s="37">
        <v>6.6344130000000003</v>
      </c>
      <c r="CR14" s="38">
        <f t="shared" si="10"/>
        <v>6.6344130000000001E-2</v>
      </c>
      <c r="CS14" s="39">
        <f t="shared" si="11"/>
        <v>7.0409206666666668E-2</v>
      </c>
    </row>
    <row r="15" spans="2:97" x14ac:dyDescent="0.3">
      <c r="B15" s="37">
        <v>12</v>
      </c>
      <c r="C15" s="37">
        <v>7.1352000000000002</v>
      </c>
      <c r="D15" s="37">
        <v>7.4051</v>
      </c>
      <c r="E15" s="37">
        <v>8.3210999999999995</v>
      </c>
      <c r="F15" s="37">
        <v>8.1158000000000001</v>
      </c>
      <c r="G15" s="37">
        <v>7.7812999999999999</v>
      </c>
      <c r="H15" s="37">
        <v>7.5731999999999999</v>
      </c>
      <c r="I15" s="37">
        <v>7.2573999999999996</v>
      </c>
      <c r="J15" s="37">
        <v>7.2662499999999994</v>
      </c>
      <c r="K15" s="37">
        <v>7.2751000000000001</v>
      </c>
      <c r="L15" s="37">
        <v>7.1066000000000003</v>
      </c>
      <c r="M15" s="37">
        <v>6.7194000000000003</v>
      </c>
      <c r="N15" s="37">
        <v>6.3879999999999999</v>
      </c>
      <c r="O15" s="38">
        <f t="shared" si="0"/>
        <v>6.3879999999999992E-2</v>
      </c>
      <c r="P15" s="39">
        <f t="shared" si="1"/>
        <v>7.3620375000000002E-2</v>
      </c>
      <c r="R15" s="37">
        <v>12</v>
      </c>
      <c r="S15" s="37">
        <v>6.6384999999999996</v>
      </c>
      <c r="T15" s="37">
        <v>6.9394</v>
      </c>
      <c r="U15" s="37">
        <v>7.1143000000000001</v>
      </c>
      <c r="V15" s="37">
        <v>6.8902000000000001</v>
      </c>
      <c r="W15" s="37">
        <v>6.8090999999999999</v>
      </c>
      <c r="X15" s="37">
        <v>6.9035000000000002</v>
      </c>
      <c r="Y15" s="37">
        <v>6.7114000000000003</v>
      </c>
      <c r="Z15" s="37">
        <v>6.5483000000000002</v>
      </c>
      <c r="AA15" s="37">
        <v>6.7073</v>
      </c>
      <c r="AB15" s="37">
        <v>6.6599000000000004</v>
      </c>
      <c r="AC15" s="37">
        <v>6.6699000000000002</v>
      </c>
      <c r="AD15" s="37">
        <v>6.7778999999999998</v>
      </c>
      <c r="AE15" s="38">
        <f t="shared" si="2"/>
        <v>6.7778999999999992E-2</v>
      </c>
      <c r="AF15" s="39">
        <f t="shared" si="3"/>
        <v>6.7808083333333324E-2</v>
      </c>
      <c r="AH15" s="37">
        <v>12</v>
      </c>
      <c r="AI15" s="37">
        <v>6.8649259999999988</v>
      </c>
      <c r="AJ15" s="37">
        <v>6.8293999999999997</v>
      </c>
      <c r="AK15" s="37">
        <v>7.0891999999999999</v>
      </c>
      <c r="AL15" s="37">
        <v>7.2221450000000003</v>
      </c>
      <c r="AM15" s="37">
        <v>7.4355000000000002</v>
      </c>
      <c r="AN15" s="37">
        <v>7.47</v>
      </c>
      <c r="AO15" s="37">
        <v>7.3807999999999998</v>
      </c>
      <c r="AP15" s="37">
        <v>7.1689999999999996</v>
      </c>
      <c r="AQ15" s="37">
        <v>7.4412000000000003</v>
      </c>
      <c r="AR15" s="37">
        <v>7.6092000000000004</v>
      </c>
      <c r="AS15" s="37">
        <v>7.18</v>
      </c>
      <c r="AT15" s="37">
        <v>7.0955000000000004</v>
      </c>
      <c r="AU15" s="38">
        <f t="shared" si="4"/>
        <v>7.0955000000000004E-2</v>
      </c>
      <c r="AV15" s="39">
        <f t="shared" si="5"/>
        <v>7.2322392499999999E-2</v>
      </c>
      <c r="AY15" s="37">
        <v>12</v>
      </c>
      <c r="AZ15" s="37">
        <v>6.8258999999999999</v>
      </c>
      <c r="BA15" s="37">
        <v>7.0102000000000002</v>
      </c>
      <c r="BB15" s="37">
        <v>6.8971239999999998</v>
      </c>
      <c r="BC15" s="37">
        <v>6.8183959999999999</v>
      </c>
      <c r="BD15" s="37">
        <v>6.5708000000000002</v>
      </c>
      <c r="BE15" s="37">
        <v>6.4428999999999998</v>
      </c>
      <c r="BF15" s="37">
        <v>6.4351000000000003</v>
      </c>
      <c r="BG15" s="37">
        <v>6.5505000000000004</v>
      </c>
      <c r="BH15" s="37">
        <v>6.9169999999999998</v>
      </c>
      <c r="BI15" s="37">
        <v>7.2127999999999997</v>
      </c>
      <c r="BJ15" s="37">
        <v>6.7910000000000004</v>
      </c>
      <c r="BK15" s="37">
        <v>6.6447000000000003</v>
      </c>
      <c r="BL15" s="38">
        <f t="shared" si="6"/>
        <v>6.6447000000000006E-2</v>
      </c>
      <c r="BM15" s="39">
        <f t="shared" si="7"/>
        <v>6.7597016666666662E-2</v>
      </c>
      <c r="BO15" s="37">
        <v>12</v>
      </c>
      <c r="BP15" s="37">
        <v>6.7064000000000004</v>
      </c>
      <c r="BQ15" s="37">
        <v>6.7207999999999997</v>
      </c>
      <c r="BR15" s="37">
        <v>6.7793000000000001</v>
      </c>
      <c r="BS15" s="37">
        <v>7.1272000000000002</v>
      </c>
      <c r="BT15" s="37">
        <v>6.9474</v>
      </c>
      <c r="BU15" s="37">
        <v>7.0674000000000001</v>
      </c>
      <c r="BV15" s="37">
        <v>6.9886999999999997</v>
      </c>
      <c r="BW15" s="37">
        <v>6.7248999999999999</v>
      </c>
      <c r="BX15" s="37">
        <v>6.6002000000000001</v>
      </c>
      <c r="BY15" s="37">
        <v>6.9226000000000001</v>
      </c>
      <c r="BZ15" s="37">
        <v>6.9885000000000002</v>
      </c>
      <c r="CA15" s="37">
        <v>7.0866999999999996</v>
      </c>
      <c r="CB15" s="38">
        <f t="shared" si="8"/>
        <v>7.0866999999999999E-2</v>
      </c>
      <c r="CC15" s="39">
        <f t="shared" si="9"/>
        <v>6.8883416666666669E-2</v>
      </c>
      <c r="CE15" s="37">
        <v>12</v>
      </c>
      <c r="CF15" s="37">
        <v>7.4284249999999998</v>
      </c>
      <c r="CG15" s="37">
        <v>7.2714779999999992</v>
      </c>
      <c r="CH15" s="37">
        <v>7.4415140000000006</v>
      </c>
      <c r="CI15" s="37">
        <v>7.2454700000000001</v>
      </c>
      <c r="CJ15" s="37">
        <v>7.2073560000000008</v>
      </c>
      <c r="CK15" s="37">
        <v>7.1192759999999993</v>
      </c>
      <c r="CL15" s="37">
        <v>7.0376629999999993</v>
      </c>
      <c r="CM15" s="37">
        <v>6.9010620000000005</v>
      </c>
      <c r="CN15" s="37">
        <v>6.9414069999999999</v>
      </c>
      <c r="CO15" s="37">
        <v>6.5648479999999996</v>
      </c>
      <c r="CP15" s="37">
        <v>6.6981360000000008</v>
      </c>
      <c r="CQ15" s="37">
        <v>6.6344130000000003</v>
      </c>
      <c r="CR15" s="38">
        <f t="shared" si="10"/>
        <v>6.6344130000000001E-2</v>
      </c>
      <c r="CS15" s="39">
        <f t="shared" si="11"/>
        <v>7.0409206666666668E-2</v>
      </c>
    </row>
    <row r="16" spans="2:97" x14ac:dyDescent="0.3">
      <c r="B16" s="37">
        <v>13</v>
      </c>
      <c r="C16" s="37">
        <v>7.2218</v>
      </c>
      <c r="D16" s="37">
        <v>7.4767000000000001</v>
      </c>
      <c r="E16" s="37">
        <v>8.3580000000000005</v>
      </c>
      <c r="F16" s="37">
        <v>8.1412999999999993</v>
      </c>
      <c r="G16" s="37">
        <v>7.8612000000000002</v>
      </c>
      <c r="H16" s="37">
        <v>7.6440999999999999</v>
      </c>
      <c r="I16" s="37">
        <v>7.3357999999999999</v>
      </c>
      <c r="J16" s="37">
        <v>7.34795</v>
      </c>
      <c r="K16" s="37">
        <v>7.3601000000000001</v>
      </c>
      <c r="L16" s="37">
        <v>7.1947000000000001</v>
      </c>
      <c r="M16" s="37">
        <v>6.8278999999999996</v>
      </c>
      <c r="N16" s="37">
        <v>6.4755000000000003</v>
      </c>
      <c r="O16" s="38">
        <f t="shared" si="0"/>
        <v>6.4755000000000007E-2</v>
      </c>
      <c r="P16" s="39">
        <f t="shared" si="1"/>
        <v>7.4370875000000003E-2</v>
      </c>
      <c r="R16" s="37">
        <v>13</v>
      </c>
      <c r="S16" s="37">
        <v>6.7281000000000004</v>
      </c>
      <c r="T16" s="37">
        <v>7.0152000000000001</v>
      </c>
      <c r="U16" s="37">
        <v>7.1967999999999996</v>
      </c>
      <c r="V16" s="37">
        <v>6.9776999999999996</v>
      </c>
      <c r="W16" s="37">
        <v>6.9013999999999998</v>
      </c>
      <c r="X16" s="37">
        <v>6.9989999999999997</v>
      </c>
      <c r="Y16" s="37">
        <v>6.8183999999999996</v>
      </c>
      <c r="Z16" s="37">
        <v>6.657</v>
      </c>
      <c r="AA16" s="37">
        <v>6.8120000000000003</v>
      </c>
      <c r="AB16" s="37">
        <v>6.7667000000000002</v>
      </c>
      <c r="AC16" s="37">
        <v>6.7592999999999996</v>
      </c>
      <c r="AD16" s="37">
        <v>6.8611000000000004</v>
      </c>
      <c r="AE16" s="38">
        <f t="shared" si="2"/>
        <v>6.8611000000000005E-2</v>
      </c>
      <c r="AF16" s="39">
        <f t="shared" si="3"/>
        <v>6.8743916666666655E-2</v>
      </c>
      <c r="AH16" s="37">
        <v>13</v>
      </c>
      <c r="AI16" s="37">
        <v>6.9271370000000001</v>
      </c>
      <c r="AJ16" s="37">
        <v>6.8898000000000001</v>
      </c>
      <c r="AK16" s="37">
        <v>7.1430999999999996</v>
      </c>
      <c r="AL16" s="37">
        <v>7.2531619999999997</v>
      </c>
      <c r="AM16" s="37">
        <v>7.4779999999999998</v>
      </c>
      <c r="AN16" s="37">
        <v>7.5034000000000001</v>
      </c>
      <c r="AO16" s="37">
        <v>7.4036999999999997</v>
      </c>
      <c r="AP16" s="37">
        <v>7.1723999999999997</v>
      </c>
      <c r="AQ16" s="37">
        <v>7.4466999999999999</v>
      </c>
      <c r="AR16" s="37">
        <v>7.6140999999999996</v>
      </c>
      <c r="AS16" s="37">
        <v>7.1967999999999996</v>
      </c>
      <c r="AT16" s="37">
        <v>7.1288</v>
      </c>
      <c r="AU16" s="38">
        <f t="shared" si="4"/>
        <v>7.1288000000000004E-2</v>
      </c>
      <c r="AV16" s="39">
        <f t="shared" si="5"/>
        <v>7.2630915833333323E-2</v>
      </c>
      <c r="AY16" s="37">
        <v>13</v>
      </c>
      <c r="AZ16" s="37">
        <v>6.8681000000000001</v>
      </c>
      <c r="BA16" s="37">
        <v>7.0347</v>
      </c>
      <c r="BB16" s="37">
        <v>6.9353590000000001</v>
      </c>
      <c r="BC16" s="37">
        <v>6.8561860000000001</v>
      </c>
      <c r="BD16" s="37">
        <v>6.6111000000000004</v>
      </c>
      <c r="BE16" s="37">
        <v>6.4855999999999998</v>
      </c>
      <c r="BF16" s="37">
        <v>6.4715999999999996</v>
      </c>
      <c r="BG16" s="37">
        <v>6.5829000000000004</v>
      </c>
      <c r="BH16" s="37">
        <v>6.9337999999999997</v>
      </c>
      <c r="BI16" s="37">
        <v>7.2165999999999997</v>
      </c>
      <c r="BJ16" s="37">
        <v>6.8093000000000004</v>
      </c>
      <c r="BK16" s="37">
        <v>6.6664000000000003</v>
      </c>
      <c r="BL16" s="38">
        <f t="shared" si="6"/>
        <v>6.6664000000000001E-2</v>
      </c>
      <c r="BM16" s="39">
        <f t="shared" si="7"/>
        <v>6.7893037500000017E-2</v>
      </c>
      <c r="BO16" s="37">
        <v>13</v>
      </c>
      <c r="BP16" s="37">
        <v>6.7343000000000002</v>
      </c>
      <c r="BQ16" s="37">
        <v>6.7460000000000004</v>
      </c>
      <c r="BR16" s="37">
        <v>6.8041999999999998</v>
      </c>
      <c r="BS16" s="37">
        <v>7.1279000000000003</v>
      </c>
      <c r="BT16" s="37">
        <v>6.9565999999999999</v>
      </c>
      <c r="BU16" s="37">
        <v>7.0682999999999998</v>
      </c>
      <c r="BV16" s="37">
        <v>7.0061</v>
      </c>
      <c r="BW16" s="37">
        <v>6.7420999999999998</v>
      </c>
      <c r="BX16" s="37">
        <v>6.6376999999999997</v>
      </c>
      <c r="BY16" s="37">
        <v>6.9386999999999999</v>
      </c>
      <c r="BZ16" s="37">
        <v>7.0034000000000001</v>
      </c>
      <c r="CA16" s="37">
        <v>7.0929999999999991</v>
      </c>
      <c r="CB16" s="38">
        <f t="shared" si="8"/>
        <v>7.0929999999999993E-2</v>
      </c>
      <c r="CC16" s="39">
        <f t="shared" si="9"/>
        <v>6.904858333333333E-2</v>
      </c>
      <c r="CE16" s="37">
        <v>13</v>
      </c>
      <c r="CF16" s="37">
        <v>7.4284249999999998</v>
      </c>
      <c r="CG16" s="37">
        <v>7.2714779999999992</v>
      </c>
      <c r="CH16" s="37">
        <v>7.4415140000000006</v>
      </c>
      <c r="CI16" s="37">
        <v>7.2454700000000001</v>
      </c>
      <c r="CJ16" s="37">
        <v>7.2073560000000008</v>
      </c>
      <c r="CK16" s="37">
        <v>7.1192759999999993</v>
      </c>
      <c r="CL16" s="37">
        <v>7.0376629999999993</v>
      </c>
      <c r="CM16" s="37">
        <v>6.9010620000000005</v>
      </c>
      <c r="CN16" s="37">
        <v>6.9414069999999999</v>
      </c>
      <c r="CO16" s="37">
        <v>6.5648479999999996</v>
      </c>
      <c r="CP16" s="37">
        <v>6.6981360000000008</v>
      </c>
      <c r="CQ16" s="37">
        <v>6.6344130000000003</v>
      </c>
      <c r="CR16" s="38">
        <f t="shared" si="10"/>
        <v>6.6344130000000001E-2</v>
      </c>
      <c r="CS16" s="39">
        <f t="shared" si="11"/>
        <v>7.0409206666666668E-2</v>
      </c>
    </row>
    <row r="17" spans="2:97" x14ac:dyDescent="0.3">
      <c r="B17" s="37">
        <v>14</v>
      </c>
      <c r="C17" s="37">
        <v>7.2972000000000001</v>
      </c>
      <c r="D17" s="37">
        <v>7.5339</v>
      </c>
      <c r="E17" s="37">
        <v>8.3854000000000006</v>
      </c>
      <c r="F17" s="37">
        <v>8.1616999999999997</v>
      </c>
      <c r="G17" s="37">
        <v>7.9273999999999996</v>
      </c>
      <c r="H17" s="37">
        <v>7.7023999999999999</v>
      </c>
      <c r="I17" s="37">
        <v>7.4016999999999999</v>
      </c>
      <c r="J17" s="37">
        <v>7.4149500000000002</v>
      </c>
      <c r="K17" s="37">
        <v>7.4282000000000004</v>
      </c>
      <c r="L17" s="37">
        <v>7.2666000000000004</v>
      </c>
      <c r="M17" s="37">
        <v>6.9185999999999996</v>
      </c>
      <c r="N17" s="37">
        <v>6.5541</v>
      </c>
      <c r="O17" s="38">
        <f t="shared" si="0"/>
        <v>6.5541000000000002E-2</v>
      </c>
      <c r="P17" s="39">
        <f t="shared" si="1"/>
        <v>7.4993458333333332E-2</v>
      </c>
      <c r="R17" s="37">
        <v>14</v>
      </c>
      <c r="S17" s="37">
        <v>6.8010999999999999</v>
      </c>
      <c r="T17" s="37">
        <v>7.0777999999999999</v>
      </c>
      <c r="U17" s="37">
        <v>7.2679999999999998</v>
      </c>
      <c r="V17" s="37">
        <v>7.0541999999999998</v>
      </c>
      <c r="W17" s="37">
        <v>6.9833999999999996</v>
      </c>
      <c r="X17" s="37">
        <v>7.0781000000000001</v>
      </c>
      <c r="Y17" s="37">
        <v>6.9065000000000003</v>
      </c>
      <c r="Z17" s="37">
        <v>6.7493999999999996</v>
      </c>
      <c r="AA17" s="37">
        <v>6.8966000000000003</v>
      </c>
      <c r="AB17" s="37">
        <v>6.8556999999999997</v>
      </c>
      <c r="AC17" s="37">
        <v>6.8319999999999999</v>
      </c>
      <c r="AD17" s="37">
        <v>6.9273999999999996</v>
      </c>
      <c r="AE17" s="38">
        <f t="shared" si="2"/>
        <v>6.9274000000000002E-2</v>
      </c>
      <c r="AF17" s="39">
        <f t="shared" si="3"/>
        <v>6.9525166666666666E-2</v>
      </c>
      <c r="AH17" s="37">
        <v>14</v>
      </c>
      <c r="AI17" s="37">
        <v>6.9748450000000002</v>
      </c>
      <c r="AJ17" s="37">
        <v>6.9362999999999992</v>
      </c>
      <c r="AK17" s="37">
        <v>7.1823999999999995</v>
      </c>
      <c r="AL17" s="37">
        <v>7.2750069999999996</v>
      </c>
      <c r="AM17" s="37">
        <v>7.5107999999999997</v>
      </c>
      <c r="AN17" s="37">
        <v>7.5278</v>
      </c>
      <c r="AO17" s="37">
        <v>7.4194000000000004</v>
      </c>
      <c r="AP17" s="37">
        <v>7.1741000000000001</v>
      </c>
      <c r="AQ17" s="37">
        <v>7.4497</v>
      </c>
      <c r="AR17" s="37">
        <v>7.6169000000000002</v>
      </c>
      <c r="AS17" s="37">
        <v>7.2083000000000004</v>
      </c>
      <c r="AT17" s="37">
        <v>7.1562999999999999</v>
      </c>
      <c r="AU17" s="38">
        <f t="shared" si="4"/>
        <v>7.1563000000000002E-2</v>
      </c>
      <c r="AV17" s="39">
        <f t="shared" si="5"/>
        <v>7.285987666666667E-2</v>
      </c>
      <c r="AY17" s="37">
        <v>14</v>
      </c>
      <c r="AZ17" s="37">
        <v>6.9036</v>
      </c>
      <c r="BA17" s="37">
        <v>7.0523999999999996</v>
      </c>
      <c r="BB17" s="37">
        <v>6.9661879999999998</v>
      </c>
      <c r="BC17" s="37">
        <v>6.8861030000000003</v>
      </c>
      <c r="BD17" s="37">
        <v>6.6463000000000001</v>
      </c>
      <c r="BE17" s="37">
        <v>6.5244</v>
      </c>
      <c r="BF17" s="37">
        <v>6.5042999999999997</v>
      </c>
      <c r="BG17" s="37">
        <v>6.6116000000000001</v>
      </c>
      <c r="BH17" s="37">
        <v>6.9459</v>
      </c>
      <c r="BI17" s="37">
        <v>7.2191999999999998</v>
      </c>
      <c r="BJ17" s="37">
        <v>6.827</v>
      </c>
      <c r="BK17" s="37">
        <v>6.6871999999999998</v>
      </c>
      <c r="BL17" s="38">
        <f t="shared" si="6"/>
        <v>6.6872000000000001E-2</v>
      </c>
      <c r="BM17" s="39">
        <f t="shared" si="7"/>
        <v>6.8145159166666677E-2</v>
      </c>
      <c r="BO17" s="37">
        <v>14</v>
      </c>
      <c r="BP17" s="37">
        <v>6.7592999999999996</v>
      </c>
      <c r="BQ17" s="37">
        <v>6.7686000000000002</v>
      </c>
      <c r="BR17" s="37">
        <v>6.827</v>
      </c>
      <c r="BS17" s="37">
        <v>7.1284000000000001</v>
      </c>
      <c r="BT17" s="37">
        <v>6.9637000000000002</v>
      </c>
      <c r="BU17" s="37">
        <v>7.0686999999999998</v>
      </c>
      <c r="BV17" s="37">
        <v>7.02</v>
      </c>
      <c r="BW17" s="37">
        <v>6.7572000000000001</v>
      </c>
      <c r="BX17" s="37">
        <v>6.6711999999999998</v>
      </c>
      <c r="BY17" s="37">
        <v>6.9508999999999999</v>
      </c>
      <c r="BZ17" s="37">
        <v>7.0155000000000003</v>
      </c>
      <c r="CA17" s="37">
        <v>7.0978000000000003</v>
      </c>
      <c r="CB17" s="38">
        <f t="shared" si="8"/>
        <v>7.0977999999999999E-2</v>
      </c>
      <c r="CC17" s="39">
        <f t="shared" si="9"/>
        <v>6.9190250000000009E-2</v>
      </c>
      <c r="CE17" s="37">
        <v>14</v>
      </c>
      <c r="CF17" s="37">
        <v>7.4284249999999998</v>
      </c>
      <c r="CG17" s="37">
        <v>7.2714779999999992</v>
      </c>
      <c r="CH17" s="37">
        <v>7.4415140000000006</v>
      </c>
      <c r="CI17" s="37">
        <v>7.2454700000000001</v>
      </c>
      <c r="CJ17" s="37">
        <v>7.2073560000000008</v>
      </c>
      <c r="CK17" s="37">
        <v>7.1192759999999993</v>
      </c>
      <c r="CL17" s="37">
        <v>7.0376629999999993</v>
      </c>
      <c r="CM17" s="37">
        <v>6.9010620000000005</v>
      </c>
      <c r="CN17" s="37">
        <v>6.9414069999999999</v>
      </c>
      <c r="CO17" s="37">
        <v>6.5648479999999996</v>
      </c>
      <c r="CP17" s="37">
        <v>6.6981360000000008</v>
      </c>
      <c r="CQ17" s="37">
        <v>6.6344130000000003</v>
      </c>
      <c r="CR17" s="38">
        <f t="shared" si="10"/>
        <v>6.6344130000000001E-2</v>
      </c>
      <c r="CS17" s="39">
        <f t="shared" si="11"/>
        <v>7.0409206666666668E-2</v>
      </c>
    </row>
    <row r="18" spans="2:97" x14ac:dyDescent="0.3">
      <c r="B18" s="37">
        <v>15</v>
      </c>
      <c r="C18" s="37">
        <v>7.3621999999999996</v>
      </c>
      <c r="D18" s="37">
        <v>7.5792000000000002</v>
      </c>
      <c r="E18" s="37">
        <v>8.4055999999999997</v>
      </c>
      <c r="F18" s="37">
        <v>8.1791</v>
      </c>
      <c r="G18" s="37">
        <v>7.9812000000000003</v>
      </c>
      <c r="H18" s="37">
        <v>7.7496</v>
      </c>
      <c r="I18" s="37">
        <v>7.4568000000000003</v>
      </c>
      <c r="J18" s="37">
        <v>7.4695499999999999</v>
      </c>
      <c r="K18" s="37">
        <v>7.4823000000000004</v>
      </c>
      <c r="L18" s="37">
        <v>7.3247</v>
      </c>
      <c r="M18" s="37">
        <v>6.9936999999999996</v>
      </c>
      <c r="N18" s="37">
        <v>6.6246</v>
      </c>
      <c r="O18" s="38">
        <f t="shared" si="0"/>
        <v>6.6245999999999999E-2</v>
      </c>
      <c r="P18" s="39">
        <f t="shared" si="1"/>
        <v>7.5507125000000008E-2</v>
      </c>
      <c r="R18" s="37">
        <v>15</v>
      </c>
      <c r="S18" s="37">
        <v>6.8598999999999997</v>
      </c>
      <c r="T18" s="37">
        <v>7.1292</v>
      </c>
      <c r="U18" s="37">
        <v>7.3291000000000004</v>
      </c>
      <c r="V18" s="37">
        <v>7.1210000000000004</v>
      </c>
      <c r="W18" s="37">
        <v>7.0561999999999996</v>
      </c>
      <c r="X18" s="37">
        <v>7.1430999999999996</v>
      </c>
      <c r="Y18" s="37">
        <v>6.9781000000000004</v>
      </c>
      <c r="Z18" s="37">
        <v>6.8272000000000004</v>
      </c>
      <c r="AA18" s="37">
        <v>6.9641999999999999</v>
      </c>
      <c r="AB18" s="37">
        <v>6.9292999999999996</v>
      </c>
      <c r="AC18" s="37">
        <v>6.8907999999999996</v>
      </c>
      <c r="AD18" s="37">
        <v>6.9798999999999998</v>
      </c>
      <c r="AE18" s="38">
        <f t="shared" si="2"/>
        <v>6.9799E-2</v>
      </c>
      <c r="AF18" s="39">
        <f t="shared" si="3"/>
        <v>7.0173333333333324E-2</v>
      </c>
      <c r="AH18" s="37">
        <v>15</v>
      </c>
      <c r="AI18" s="37">
        <v>7.0112860000000001</v>
      </c>
      <c r="AJ18" s="37">
        <v>6.9718</v>
      </c>
      <c r="AK18" s="37">
        <v>7.2109000000000005</v>
      </c>
      <c r="AL18" s="37">
        <v>7.2902120000000004</v>
      </c>
      <c r="AM18" s="37">
        <v>7.5358000000000001</v>
      </c>
      <c r="AN18" s="37">
        <v>7.5456000000000003</v>
      </c>
      <c r="AO18" s="37">
        <v>7.43</v>
      </c>
      <c r="AP18" s="37">
        <v>7.1749999999999998</v>
      </c>
      <c r="AQ18" s="37">
        <v>7.4512999999999998</v>
      </c>
      <c r="AR18" s="37">
        <v>7.6184000000000003</v>
      </c>
      <c r="AS18" s="37">
        <v>7.2160000000000002</v>
      </c>
      <c r="AT18" s="37">
        <v>7.1788999999999987</v>
      </c>
      <c r="AU18" s="38">
        <f t="shared" si="4"/>
        <v>7.1788999999999992E-2</v>
      </c>
      <c r="AV18" s="39">
        <f t="shared" si="5"/>
        <v>7.3029331666666655E-2</v>
      </c>
      <c r="AY18" s="37">
        <v>15</v>
      </c>
      <c r="AZ18" s="37">
        <v>6.9332000000000003</v>
      </c>
      <c r="BA18" s="37">
        <v>7.0648999999999997</v>
      </c>
      <c r="BB18" s="37">
        <v>6.9906249999999996</v>
      </c>
      <c r="BC18" s="37">
        <v>6.9093939999999998</v>
      </c>
      <c r="BD18" s="37">
        <v>6.6768000000000001</v>
      </c>
      <c r="BE18" s="37">
        <v>6.5593000000000004</v>
      </c>
      <c r="BF18" s="37">
        <v>6.5334000000000003</v>
      </c>
      <c r="BG18" s="37">
        <v>6.6367000000000003</v>
      </c>
      <c r="BH18" s="37">
        <v>6.9542999999999999</v>
      </c>
      <c r="BI18" s="37">
        <v>7.2210000000000001</v>
      </c>
      <c r="BJ18" s="37">
        <v>6.8438999999999997</v>
      </c>
      <c r="BK18" s="37">
        <v>6.7069999999999999</v>
      </c>
      <c r="BL18" s="38">
        <f t="shared" si="6"/>
        <v>6.7070000000000005E-2</v>
      </c>
      <c r="BM18" s="39">
        <f t="shared" si="7"/>
        <v>6.8358765833333335E-2</v>
      </c>
      <c r="BO18" s="37">
        <v>15</v>
      </c>
      <c r="BP18" s="37">
        <v>6.7816999999999998</v>
      </c>
      <c r="BQ18" s="37">
        <v>6.7887000000000004</v>
      </c>
      <c r="BR18" s="37">
        <v>6.8476999999999997</v>
      </c>
      <c r="BS18" s="37">
        <v>7.1285999999999996</v>
      </c>
      <c r="BT18" s="37">
        <v>6.9691000000000001</v>
      </c>
      <c r="BU18" s="37">
        <v>7.069</v>
      </c>
      <c r="BV18" s="37">
        <v>7.0308999999999999</v>
      </c>
      <c r="BW18" s="37">
        <v>6.7702</v>
      </c>
      <c r="BX18" s="37">
        <v>6.7008999999999999</v>
      </c>
      <c r="BY18" s="37">
        <v>6.96</v>
      </c>
      <c r="BZ18" s="37">
        <v>7.0250000000000004</v>
      </c>
      <c r="CA18" s="37">
        <v>7.1014999999999997</v>
      </c>
      <c r="CB18" s="38">
        <f t="shared" si="8"/>
        <v>7.1014999999999995E-2</v>
      </c>
      <c r="CC18" s="39">
        <f t="shared" si="9"/>
        <v>6.9311083333333343E-2</v>
      </c>
      <c r="CE18" s="37">
        <v>15</v>
      </c>
      <c r="CF18" s="37">
        <v>7.4284249999999998</v>
      </c>
      <c r="CG18" s="37">
        <v>7.2714779999999992</v>
      </c>
      <c r="CH18" s="37">
        <v>7.4415140000000006</v>
      </c>
      <c r="CI18" s="37">
        <v>7.2454700000000001</v>
      </c>
      <c r="CJ18" s="37">
        <v>7.2073560000000008</v>
      </c>
      <c r="CK18" s="37">
        <v>7.1192759999999993</v>
      </c>
      <c r="CL18" s="37">
        <v>7.0376629999999993</v>
      </c>
      <c r="CM18" s="37">
        <v>6.9010620000000005</v>
      </c>
      <c r="CN18" s="37">
        <v>6.9414069999999999</v>
      </c>
      <c r="CO18" s="37">
        <v>6.5648479999999996</v>
      </c>
      <c r="CP18" s="37">
        <v>6.6981360000000008</v>
      </c>
      <c r="CQ18" s="37">
        <v>6.6344130000000003</v>
      </c>
      <c r="CR18" s="38">
        <f t="shared" si="10"/>
        <v>6.6344130000000001E-2</v>
      </c>
      <c r="CS18" s="39">
        <f t="shared" si="11"/>
        <v>7.0409206666666668E-2</v>
      </c>
    </row>
    <row r="19" spans="2:97" x14ac:dyDescent="0.3">
      <c r="B19" s="37">
        <v>16</v>
      </c>
      <c r="C19" s="37">
        <v>7.4176000000000002</v>
      </c>
      <c r="D19" s="37">
        <v>7.6147999999999998</v>
      </c>
      <c r="E19" s="37">
        <v>8.4202999999999992</v>
      </c>
      <c r="F19" s="37">
        <v>8.1913999999999998</v>
      </c>
      <c r="G19" s="37">
        <v>8.0243000000000002</v>
      </c>
      <c r="H19" s="37">
        <v>7.7873000000000001</v>
      </c>
      <c r="I19" s="37">
        <v>7.5026999999999999</v>
      </c>
      <c r="J19" s="37">
        <v>7.5137999999999998</v>
      </c>
      <c r="K19" s="37">
        <v>7.5248999999999997</v>
      </c>
      <c r="L19" s="37">
        <v>7.3714000000000004</v>
      </c>
      <c r="M19" s="37">
        <v>7.0551000000000004</v>
      </c>
      <c r="N19" s="37">
        <v>6.6879999999999997</v>
      </c>
      <c r="O19" s="38">
        <f t="shared" si="0"/>
        <v>6.6879999999999995E-2</v>
      </c>
      <c r="P19" s="39">
        <f t="shared" si="1"/>
        <v>7.5926333333333332E-2</v>
      </c>
      <c r="R19" s="37">
        <v>16</v>
      </c>
      <c r="S19" s="37">
        <v>6.9069000000000003</v>
      </c>
      <c r="T19" s="37">
        <v>7.1711999999999998</v>
      </c>
      <c r="U19" s="37">
        <v>7.3814000000000002</v>
      </c>
      <c r="V19" s="37">
        <v>7.1790000000000003</v>
      </c>
      <c r="W19" s="37">
        <v>7.1208</v>
      </c>
      <c r="X19" s="37">
        <v>7.1961000000000004</v>
      </c>
      <c r="Y19" s="37">
        <v>7.0357000000000003</v>
      </c>
      <c r="Z19" s="37">
        <v>6.8921000000000001</v>
      </c>
      <c r="AA19" s="37">
        <v>7.0175999999999998</v>
      </c>
      <c r="AB19" s="37">
        <v>6.9897</v>
      </c>
      <c r="AC19" s="37">
        <v>6.9382999999999999</v>
      </c>
      <c r="AD19" s="37">
        <v>7.0213999999999999</v>
      </c>
      <c r="AE19" s="38">
        <f t="shared" si="2"/>
        <v>7.0213999999999999E-2</v>
      </c>
      <c r="AF19" s="39">
        <f t="shared" si="3"/>
        <v>7.0708500000000007E-2</v>
      </c>
      <c r="AH19" s="37">
        <v>16</v>
      </c>
      <c r="AI19" s="37">
        <v>7.0390230000000003</v>
      </c>
      <c r="AJ19" s="37">
        <v>6.9987999999999992</v>
      </c>
      <c r="AK19" s="37">
        <v>7.2312000000000003</v>
      </c>
      <c r="AL19" s="37">
        <v>7.3006859999999998</v>
      </c>
      <c r="AM19" s="37">
        <v>7.5549999999999997</v>
      </c>
      <c r="AN19" s="37">
        <v>7.5586000000000002</v>
      </c>
      <c r="AO19" s="37">
        <v>7.4371</v>
      </c>
      <c r="AP19" s="37">
        <v>7.1753999999999998</v>
      </c>
      <c r="AQ19" s="37">
        <v>7.4522000000000004</v>
      </c>
      <c r="AR19" s="37">
        <v>7.6193</v>
      </c>
      <c r="AS19" s="37">
        <v>7.2210999999999999</v>
      </c>
      <c r="AT19" s="37">
        <v>7.1974</v>
      </c>
      <c r="AU19" s="38">
        <f t="shared" si="4"/>
        <v>7.1973999999999996E-2</v>
      </c>
      <c r="AV19" s="39">
        <f t="shared" si="5"/>
        <v>7.3154840833333318E-2</v>
      </c>
      <c r="AY19" s="37">
        <v>16</v>
      </c>
      <c r="AZ19" s="37">
        <v>6.9573999999999998</v>
      </c>
      <c r="BA19" s="37">
        <v>7.0735999999999999</v>
      </c>
      <c r="BB19" s="37">
        <v>7.0097139999999998</v>
      </c>
      <c r="BC19" s="37">
        <v>6.9272710000000002</v>
      </c>
      <c r="BD19" s="37">
        <v>6.7031999999999998</v>
      </c>
      <c r="BE19" s="37">
        <v>6.5907</v>
      </c>
      <c r="BF19" s="37">
        <v>6.5591999999999997</v>
      </c>
      <c r="BG19" s="37">
        <v>6.6584000000000003</v>
      </c>
      <c r="BH19" s="37">
        <v>6.9602000000000004</v>
      </c>
      <c r="BI19" s="37">
        <v>7.2222</v>
      </c>
      <c r="BJ19" s="37">
        <v>6.8601000000000001</v>
      </c>
      <c r="BK19" s="37">
        <v>6.7259000000000002</v>
      </c>
      <c r="BL19" s="38">
        <f t="shared" si="6"/>
        <v>6.7258999999999999E-2</v>
      </c>
      <c r="BM19" s="39">
        <f t="shared" si="7"/>
        <v>6.8539904166666665E-2</v>
      </c>
      <c r="BO19" s="37">
        <v>16</v>
      </c>
      <c r="BP19" s="37">
        <v>6.8014000000000001</v>
      </c>
      <c r="BQ19" s="37">
        <v>6.8066000000000004</v>
      </c>
      <c r="BR19" s="37">
        <v>6.8662999999999998</v>
      </c>
      <c r="BS19" s="37">
        <v>7.1288</v>
      </c>
      <c r="BT19" s="37">
        <v>6.9730999999999996</v>
      </c>
      <c r="BU19" s="37">
        <v>7.0690999999999997</v>
      </c>
      <c r="BV19" s="37">
        <v>7.0393999999999997</v>
      </c>
      <c r="BW19" s="37">
        <v>6.7816000000000001</v>
      </c>
      <c r="BX19" s="37">
        <v>6.7268999999999997</v>
      </c>
      <c r="BY19" s="37">
        <v>6.9667000000000003</v>
      </c>
      <c r="BZ19" s="37">
        <v>7.0415999999999999</v>
      </c>
      <c r="CA19" s="37">
        <v>7.1043000000000012</v>
      </c>
      <c r="CB19" s="38">
        <f t="shared" si="8"/>
        <v>7.1043000000000009E-2</v>
      </c>
      <c r="CC19" s="39">
        <f t="shared" si="9"/>
        <v>6.9421499999999983E-2</v>
      </c>
      <c r="CE19" s="37">
        <v>16</v>
      </c>
      <c r="CF19" s="37">
        <v>7.4284249999999998</v>
      </c>
      <c r="CG19" s="37">
        <v>7.2714779999999992</v>
      </c>
      <c r="CH19" s="37">
        <v>7.4415140000000006</v>
      </c>
      <c r="CI19" s="37">
        <v>7.2454700000000001</v>
      </c>
      <c r="CJ19" s="37">
        <v>7.2073560000000008</v>
      </c>
      <c r="CK19" s="37">
        <v>7.1192759999999993</v>
      </c>
      <c r="CL19" s="37">
        <v>7.0376629999999993</v>
      </c>
      <c r="CM19" s="37">
        <v>6.9010620000000005</v>
      </c>
      <c r="CN19" s="37">
        <v>6.9414069999999999</v>
      </c>
      <c r="CO19" s="37">
        <v>6.5648479999999996</v>
      </c>
      <c r="CP19" s="37">
        <v>6.6981360000000008</v>
      </c>
      <c r="CQ19" s="37">
        <v>6.6344130000000003</v>
      </c>
      <c r="CR19" s="38">
        <f t="shared" si="10"/>
        <v>6.6344130000000001E-2</v>
      </c>
      <c r="CS19" s="39">
        <f t="shared" si="11"/>
        <v>7.0409206666666668E-2</v>
      </c>
    </row>
    <row r="20" spans="2:97" x14ac:dyDescent="0.3">
      <c r="B20" s="37">
        <v>17</v>
      </c>
      <c r="C20" s="37">
        <v>7.4644000000000004</v>
      </c>
      <c r="D20" s="37">
        <v>7.6425999999999998</v>
      </c>
      <c r="E20" s="37">
        <v>8.4308999999999994</v>
      </c>
      <c r="F20" s="37">
        <v>8.2021999999999995</v>
      </c>
      <c r="G20" s="37">
        <v>8.0584000000000007</v>
      </c>
      <c r="H20" s="37">
        <v>7.8171999999999997</v>
      </c>
      <c r="I20" s="37">
        <v>7.5407000000000002</v>
      </c>
      <c r="J20" s="37">
        <v>7.5494500000000002</v>
      </c>
      <c r="K20" s="37">
        <v>7.5582000000000003</v>
      </c>
      <c r="L20" s="37">
        <v>7.4086999999999996</v>
      </c>
      <c r="M20" s="37">
        <v>7.1048</v>
      </c>
      <c r="N20" s="37">
        <v>6.7449000000000003</v>
      </c>
      <c r="O20" s="38">
        <f t="shared" si="0"/>
        <v>6.7449000000000009E-2</v>
      </c>
      <c r="P20" s="39">
        <f t="shared" si="1"/>
        <v>7.6268708333333324E-2</v>
      </c>
      <c r="R20" s="37">
        <v>17</v>
      </c>
      <c r="S20" s="37">
        <v>6.9439000000000002</v>
      </c>
      <c r="T20" s="37">
        <v>7.2053000000000003</v>
      </c>
      <c r="U20" s="37">
        <v>7.4260000000000002</v>
      </c>
      <c r="V20" s="37">
        <v>7.2291999999999996</v>
      </c>
      <c r="W20" s="37">
        <v>7.1779999999999999</v>
      </c>
      <c r="X20" s="37">
        <v>7.2389999999999999</v>
      </c>
      <c r="Y20" s="37">
        <v>7.0816999999999997</v>
      </c>
      <c r="Z20" s="37">
        <v>6.9457000000000004</v>
      </c>
      <c r="AA20" s="37">
        <v>7.0593000000000004</v>
      </c>
      <c r="AB20" s="37">
        <v>7.0388999999999999</v>
      </c>
      <c r="AC20" s="37">
        <v>6.9766000000000004</v>
      </c>
      <c r="AD20" s="37">
        <v>7.0540000000000003</v>
      </c>
      <c r="AE20" s="38">
        <f t="shared" si="2"/>
        <v>7.0540000000000005E-2</v>
      </c>
      <c r="AF20" s="39">
        <f t="shared" si="3"/>
        <v>7.1148000000000003E-2</v>
      </c>
      <c r="AH20" s="37">
        <v>17</v>
      </c>
      <c r="AI20" s="37">
        <v>7.0600649999999998</v>
      </c>
      <c r="AJ20" s="37">
        <v>7.0192000000000005</v>
      </c>
      <c r="AK20" s="37">
        <v>7.2456999999999994</v>
      </c>
      <c r="AL20" s="37">
        <v>7.3078339999999997</v>
      </c>
      <c r="AM20" s="37">
        <v>7.5696000000000003</v>
      </c>
      <c r="AN20" s="37">
        <v>7.5678999999999998</v>
      </c>
      <c r="AO20" s="37">
        <v>7.4417999999999997</v>
      </c>
      <c r="AP20" s="37">
        <v>7.1756000000000002</v>
      </c>
      <c r="AQ20" s="37">
        <v>7.4526000000000003</v>
      </c>
      <c r="AR20" s="37">
        <v>7.6196999999999999</v>
      </c>
      <c r="AS20" s="37">
        <v>7.2244999999999999</v>
      </c>
      <c r="AT20" s="37">
        <v>7.2125000000000012</v>
      </c>
      <c r="AU20" s="38">
        <f t="shared" si="4"/>
        <v>7.2125000000000009E-2</v>
      </c>
      <c r="AV20" s="39">
        <f t="shared" si="5"/>
        <v>7.3247499166666674E-2</v>
      </c>
      <c r="AY20" s="37">
        <v>17</v>
      </c>
      <c r="AZ20" s="37">
        <v>6.9770000000000003</v>
      </c>
      <c r="BA20" s="37">
        <v>7.0796999999999999</v>
      </c>
      <c r="BB20" s="37">
        <v>7.0244439999999999</v>
      </c>
      <c r="BC20" s="37">
        <v>6.9408279999999998</v>
      </c>
      <c r="BD20" s="37">
        <v>6.7260999999999997</v>
      </c>
      <c r="BE20" s="37">
        <v>6.6189</v>
      </c>
      <c r="BF20" s="37">
        <v>6.5820999999999996</v>
      </c>
      <c r="BG20" s="37">
        <v>6.6769999999999996</v>
      </c>
      <c r="BH20" s="37">
        <v>6.9641999999999999</v>
      </c>
      <c r="BI20" s="37">
        <v>7.2229999999999999</v>
      </c>
      <c r="BJ20" s="37">
        <v>6.8752000000000004</v>
      </c>
      <c r="BK20" s="37">
        <v>6.7436999999999996</v>
      </c>
      <c r="BL20" s="38">
        <f t="shared" si="6"/>
        <v>6.7436999999999997E-2</v>
      </c>
      <c r="BM20" s="39">
        <f t="shared" si="7"/>
        <v>6.869347666666667E-2</v>
      </c>
      <c r="BO20" s="37">
        <v>17</v>
      </c>
      <c r="BP20" s="37">
        <v>6.8186999999999998</v>
      </c>
      <c r="BQ20" s="37">
        <v>6.8223000000000003</v>
      </c>
      <c r="BR20" s="37">
        <v>6.8826999999999998</v>
      </c>
      <c r="BS20" s="37">
        <v>7.1288</v>
      </c>
      <c r="BT20" s="37">
        <v>6.976</v>
      </c>
      <c r="BU20" s="37">
        <v>7.0690999999999997</v>
      </c>
      <c r="BV20" s="37">
        <v>7.0458999999999996</v>
      </c>
      <c r="BW20" s="37">
        <v>6.7912999999999997</v>
      </c>
      <c r="BX20" s="37">
        <v>6.7495000000000003</v>
      </c>
      <c r="BY20" s="37">
        <v>6.9715999999999996</v>
      </c>
      <c r="BZ20" s="37">
        <v>7.0384000000000002</v>
      </c>
      <c r="CA20" s="37">
        <v>7.1063999999999998</v>
      </c>
      <c r="CB20" s="38">
        <f t="shared" si="8"/>
        <v>7.1064000000000002E-2</v>
      </c>
      <c r="CC20" s="39">
        <f t="shared" si="9"/>
        <v>6.9500583333333324E-2</v>
      </c>
      <c r="CE20" s="37">
        <v>17</v>
      </c>
      <c r="CF20" s="37">
        <v>7.4284249999999998</v>
      </c>
      <c r="CG20" s="37">
        <v>7.2714779999999992</v>
      </c>
      <c r="CH20" s="37">
        <v>7.4415140000000006</v>
      </c>
      <c r="CI20" s="37">
        <v>7.2454700000000001</v>
      </c>
      <c r="CJ20" s="37">
        <v>7.2073560000000008</v>
      </c>
      <c r="CK20" s="37">
        <v>7.1192759999999993</v>
      </c>
      <c r="CL20" s="37">
        <v>7.0376629999999993</v>
      </c>
      <c r="CM20" s="37">
        <v>6.9010620000000005</v>
      </c>
      <c r="CN20" s="37">
        <v>6.9414069999999999</v>
      </c>
      <c r="CO20" s="37">
        <v>6.5648479999999996</v>
      </c>
      <c r="CP20" s="37">
        <v>6.6981360000000008</v>
      </c>
      <c r="CQ20" s="37">
        <v>6.6344130000000003</v>
      </c>
      <c r="CR20" s="38">
        <f t="shared" si="10"/>
        <v>6.6344130000000001E-2</v>
      </c>
      <c r="CS20" s="39">
        <f t="shared" si="11"/>
        <v>7.0409206666666668E-2</v>
      </c>
    </row>
    <row r="21" spans="2:97" x14ac:dyDescent="0.3">
      <c r="B21" s="37">
        <v>18</v>
      </c>
      <c r="C21" s="37">
        <v>7.5035999999999996</v>
      </c>
      <c r="D21" s="37">
        <v>7.6641000000000004</v>
      </c>
      <c r="E21" s="37">
        <v>8.4385999999999992</v>
      </c>
      <c r="F21" s="37">
        <v>8.2110000000000003</v>
      </c>
      <c r="G21" s="37">
        <v>8.0850000000000009</v>
      </c>
      <c r="H21" s="37">
        <v>7.8407</v>
      </c>
      <c r="I21" s="37">
        <v>7.5719000000000003</v>
      </c>
      <c r="J21" s="37">
        <v>7.5779499999999995</v>
      </c>
      <c r="K21" s="37">
        <v>7.5839999999999996</v>
      </c>
      <c r="L21" s="37">
        <v>7.4383999999999997</v>
      </c>
      <c r="M21" s="37">
        <v>7.1447000000000003</v>
      </c>
      <c r="N21" s="37">
        <v>6.7957999999999998</v>
      </c>
      <c r="O21" s="38">
        <f t="shared" si="0"/>
        <v>6.7958000000000005E-2</v>
      </c>
      <c r="P21" s="39">
        <f t="shared" si="1"/>
        <v>7.6546458333333331E-2</v>
      </c>
      <c r="R21" s="37">
        <v>18</v>
      </c>
      <c r="S21" s="37">
        <v>6.9729999999999999</v>
      </c>
      <c r="T21" s="37">
        <v>7.2328999999999999</v>
      </c>
      <c r="U21" s="37">
        <v>7.4637000000000002</v>
      </c>
      <c r="V21" s="37">
        <v>7.2725</v>
      </c>
      <c r="W21" s="37">
        <v>7.2285000000000004</v>
      </c>
      <c r="X21" s="37">
        <v>7.2735000000000003</v>
      </c>
      <c r="Y21" s="37">
        <v>7.1181000000000001</v>
      </c>
      <c r="Z21" s="37">
        <v>6.9897</v>
      </c>
      <c r="AA21" s="37">
        <v>7.0917000000000003</v>
      </c>
      <c r="AB21" s="37">
        <v>7.0787000000000004</v>
      </c>
      <c r="AC21" s="37">
        <v>7.0072000000000001</v>
      </c>
      <c r="AD21" s="37">
        <v>7.0796000000000001</v>
      </c>
      <c r="AE21" s="38">
        <f t="shared" si="2"/>
        <v>7.0795999999999998E-2</v>
      </c>
      <c r="AF21" s="39">
        <f t="shared" si="3"/>
        <v>7.1507583333333319E-2</v>
      </c>
      <c r="AH21" s="37">
        <v>18</v>
      </c>
      <c r="AI21" s="37">
        <v>7.0759829999999999</v>
      </c>
      <c r="AJ21" s="37">
        <v>7.0346000000000002</v>
      </c>
      <c r="AK21" s="37">
        <v>7.2558999999999996</v>
      </c>
      <c r="AL21" s="37">
        <v>7.3126730000000002</v>
      </c>
      <c r="AM21" s="37">
        <v>7.5807000000000002</v>
      </c>
      <c r="AN21" s="37">
        <v>7.5747</v>
      </c>
      <c r="AO21" s="37">
        <v>7.4447999999999999</v>
      </c>
      <c r="AP21" s="37">
        <v>7.1757</v>
      </c>
      <c r="AQ21" s="37">
        <v>7.4528999999999996</v>
      </c>
      <c r="AR21" s="37">
        <v>7.62</v>
      </c>
      <c r="AS21" s="37">
        <v>7.2266000000000004</v>
      </c>
      <c r="AT21" s="37">
        <v>7.2247000000000003</v>
      </c>
      <c r="AU21" s="38">
        <f t="shared" si="4"/>
        <v>7.2247000000000006E-2</v>
      </c>
      <c r="AV21" s="39">
        <f t="shared" si="5"/>
        <v>7.3316046666666676E-2</v>
      </c>
      <c r="AY21" s="37">
        <v>18</v>
      </c>
      <c r="AZ21" s="37">
        <v>6.9927000000000001</v>
      </c>
      <c r="BA21" s="37">
        <v>7.0838000000000001</v>
      </c>
      <c r="BB21" s="37">
        <v>7.0356870000000002</v>
      </c>
      <c r="BC21" s="37">
        <v>6.951003</v>
      </c>
      <c r="BD21" s="37">
        <v>6.7457000000000003</v>
      </c>
      <c r="BE21" s="37">
        <v>6.6440000000000001</v>
      </c>
      <c r="BF21" s="37">
        <v>6.6021000000000001</v>
      </c>
      <c r="BG21" s="37">
        <v>6.6928000000000001</v>
      </c>
      <c r="BH21" s="37">
        <v>6.9669999999999996</v>
      </c>
      <c r="BI21" s="37">
        <v>7.2234999999999996</v>
      </c>
      <c r="BJ21" s="37">
        <v>6.8891999999999998</v>
      </c>
      <c r="BK21" s="37">
        <v>6.7603999999999997</v>
      </c>
      <c r="BL21" s="38">
        <f t="shared" si="6"/>
        <v>6.7603999999999997E-2</v>
      </c>
      <c r="BM21" s="39">
        <f t="shared" si="7"/>
        <v>6.8823241666666674E-2</v>
      </c>
      <c r="BO21" s="37">
        <v>18</v>
      </c>
      <c r="BP21" s="37">
        <v>6.8338000000000001</v>
      </c>
      <c r="BQ21" s="37">
        <v>6.8360000000000003</v>
      </c>
      <c r="BR21" s="37">
        <v>6.8971</v>
      </c>
      <c r="BS21" s="37">
        <v>7.1288999999999998</v>
      </c>
      <c r="BT21" s="37">
        <v>6.9781000000000004</v>
      </c>
      <c r="BU21" s="37">
        <v>7.0690999999999997</v>
      </c>
      <c r="BV21" s="37">
        <v>7.0509000000000004</v>
      </c>
      <c r="BW21" s="37">
        <v>6.7996999999999996</v>
      </c>
      <c r="BX21" s="37">
        <v>6.7689000000000004</v>
      </c>
      <c r="BY21" s="37">
        <v>6.9751000000000003</v>
      </c>
      <c r="BZ21" s="37">
        <v>7.0429000000000004</v>
      </c>
      <c r="CA21" s="37">
        <v>7.1079999999999988</v>
      </c>
      <c r="CB21" s="38">
        <f t="shared" si="8"/>
        <v>7.107999999999999E-2</v>
      </c>
      <c r="CC21" s="39">
        <f t="shared" si="9"/>
        <v>6.9573750000000004E-2</v>
      </c>
      <c r="CE21" s="37">
        <v>18</v>
      </c>
      <c r="CF21" s="37">
        <v>7.4284249999999998</v>
      </c>
      <c r="CG21" s="37">
        <v>7.2714779999999992</v>
      </c>
      <c r="CH21" s="37">
        <v>7.4415140000000006</v>
      </c>
      <c r="CI21" s="37">
        <v>7.2454700000000001</v>
      </c>
      <c r="CJ21" s="37">
        <v>7.2073560000000008</v>
      </c>
      <c r="CK21" s="37">
        <v>7.1192759999999993</v>
      </c>
      <c r="CL21" s="37">
        <v>7.0376629999999993</v>
      </c>
      <c r="CM21" s="37">
        <v>6.9010620000000005</v>
      </c>
      <c r="CN21" s="37">
        <v>6.9414069999999999</v>
      </c>
      <c r="CO21" s="37">
        <v>6.5648479999999996</v>
      </c>
      <c r="CP21" s="37">
        <v>6.6981360000000008</v>
      </c>
      <c r="CQ21" s="37">
        <v>6.6344130000000003</v>
      </c>
      <c r="CR21" s="38">
        <f t="shared" si="10"/>
        <v>6.6344130000000001E-2</v>
      </c>
      <c r="CS21" s="39">
        <f t="shared" si="11"/>
        <v>7.0409206666666668E-2</v>
      </c>
    </row>
    <row r="22" spans="2:97" x14ac:dyDescent="0.3">
      <c r="B22" s="37">
        <v>19</v>
      </c>
      <c r="C22" s="37">
        <v>7.5362</v>
      </c>
      <c r="D22" s="37">
        <v>7.6806999999999999</v>
      </c>
      <c r="E22" s="37">
        <v>8.4441000000000006</v>
      </c>
      <c r="F22" s="37">
        <v>8.2180999999999997</v>
      </c>
      <c r="G22" s="37">
        <v>8.1054999999999993</v>
      </c>
      <c r="H22" s="37">
        <v>7.8589000000000002</v>
      </c>
      <c r="I22" s="37">
        <v>7.5975999999999999</v>
      </c>
      <c r="J22" s="37">
        <v>7.6007999999999996</v>
      </c>
      <c r="K22" s="37">
        <v>7.6040000000000001</v>
      </c>
      <c r="L22" s="37">
        <v>7.4618000000000002</v>
      </c>
      <c r="M22" s="37">
        <v>7.1765999999999996</v>
      </c>
      <c r="N22" s="37">
        <v>6.8414000000000001</v>
      </c>
      <c r="O22" s="38">
        <f t="shared" si="0"/>
        <v>6.8414000000000003E-2</v>
      </c>
      <c r="P22" s="39">
        <f t="shared" si="1"/>
        <v>7.6771416666666661E-2</v>
      </c>
      <c r="R22" s="37">
        <v>19</v>
      </c>
      <c r="S22" s="37">
        <v>6.9955999999999996</v>
      </c>
      <c r="T22" s="37">
        <v>7.2549999999999999</v>
      </c>
      <c r="U22" s="37">
        <v>7.4955999999999996</v>
      </c>
      <c r="V22" s="37">
        <v>7.3095999999999997</v>
      </c>
      <c r="W22" s="37">
        <v>7.2731000000000003</v>
      </c>
      <c r="X22" s="37">
        <v>7.3010999999999999</v>
      </c>
      <c r="Y22" s="37">
        <v>7.1467999999999998</v>
      </c>
      <c r="Z22" s="37">
        <v>7.0255000000000001</v>
      </c>
      <c r="AA22" s="37">
        <v>7.1166</v>
      </c>
      <c r="AB22" s="37">
        <v>7.1106999999999996</v>
      </c>
      <c r="AC22" s="37">
        <v>7.0317999999999996</v>
      </c>
      <c r="AD22" s="37">
        <v>7.0995999999999997</v>
      </c>
      <c r="AE22" s="38">
        <f t="shared" si="2"/>
        <v>7.0996000000000004E-2</v>
      </c>
      <c r="AF22" s="39">
        <f t="shared" si="3"/>
        <v>7.1800833333333328E-2</v>
      </c>
      <c r="AH22" s="37">
        <v>19</v>
      </c>
      <c r="AI22" s="37">
        <v>7.0879899999999996</v>
      </c>
      <c r="AJ22" s="37">
        <v>7.0460999999999991</v>
      </c>
      <c r="AK22" s="37">
        <v>7.2630999999999997</v>
      </c>
      <c r="AL22" s="37">
        <v>7.315925</v>
      </c>
      <c r="AM22" s="37">
        <v>7.5891000000000002</v>
      </c>
      <c r="AN22" s="37">
        <v>7.5796000000000001</v>
      </c>
      <c r="AO22" s="37">
        <v>7.4467999999999996</v>
      </c>
      <c r="AP22" s="37">
        <v>7.1757999999999997</v>
      </c>
      <c r="AQ22" s="37">
        <v>7.4530000000000003</v>
      </c>
      <c r="AR22" s="37">
        <v>7.6201000000000008</v>
      </c>
      <c r="AS22" s="37">
        <v>7.2281000000000004</v>
      </c>
      <c r="AT22" s="37">
        <v>7.2344999999999988</v>
      </c>
      <c r="AU22" s="38">
        <f t="shared" si="4"/>
        <v>7.2344999999999993E-2</v>
      </c>
      <c r="AV22" s="39">
        <f t="shared" si="5"/>
        <v>7.3366762500000002E-2</v>
      </c>
      <c r="AY22" s="37">
        <v>19</v>
      </c>
      <c r="AZ22" s="37">
        <v>7.0053000000000001</v>
      </c>
      <c r="BA22" s="37">
        <v>7.0865999999999998</v>
      </c>
      <c r="BB22" s="37">
        <v>7.0441900000000004</v>
      </c>
      <c r="BC22" s="37">
        <v>6.9585689999999998</v>
      </c>
      <c r="BD22" s="37">
        <v>6.7625999999999999</v>
      </c>
      <c r="BE22" s="37">
        <v>6.6662999999999997</v>
      </c>
      <c r="BF22" s="37">
        <v>6.6196999999999999</v>
      </c>
      <c r="BG22" s="37">
        <v>6.7061999999999999</v>
      </c>
      <c r="BH22" s="37">
        <v>6.9687999999999999</v>
      </c>
      <c r="BI22" s="37">
        <v>7.2237999999999998</v>
      </c>
      <c r="BJ22" s="37">
        <v>6.9020999999999999</v>
      </c>
      <c r="BK22" s="37">
        <v>6.7762000000000002</v>
      </c>
      <c r="BL22" s="38">
        <f t="shared" si="6"/>
        <v>6.7762000000000003E-2</v>
      </c>
      <c r="BM22" s="39">
        <f t="shared" si="7"/>
        <v>6.8933632500000008E-2</v>
      </c>
      <c r="BO22" s="37">
        <v>19</v>
      </c>
      <c r="BP22" s="37">
        <v>6.8468999999999998</v>
      </c>
      <c r="BQ22" s="37">
        <v>6.8479000000000001</v>
      </c>
      <c r="BR22" s="37">
        <v>6.9097</v>
      </c>
      <c r="BS22" s="37">
        <v>7.1288999999999998</v>
      </c>
      <c r="BT22" s="37">
        <v>6.9795999999999996</v>
      </c>
      <c r="BU22" s="37">
        <v>7.0690999999999997</v>
      </c>
      <c r="BV22" s="37">
        <v>7.0545999999999998</v>
      </c>
      <c r="BW22" s="37">
        <v>6.8068999999999997</v>
      </c>
      <c r="BX22" s="37">
        <v>6.7854999999999999</v>
      </c>
      <c r="BY22" s="37">
        <v>6.9775999999999998</v>
      </c>
      <c r="BZ22" s="37">
        <v>7.0464000000000002</v>
      </c>
      <c r="CA22" s="37">
        <v>7.1090999999999998</v>
      </c>
      <c r="CB22" s="38">
        <f t="shared" si="8"/>
        <v>7.1091000000000001E-2</v>
      </c>
      <c r="CC22" s="39">
        <f t="shared" si="9"/>
        <v>6.9635166666666665E-2</v>
      </c>
      <c r="CE22" s="37">
        <v>19</v>
      </c>
      <c r="CF22" s="37">
        <v>7.4284249999999998</v>
      </c>
      <c r="CG22" s="37">
        <v>7.2714779999999992</v>
      </c>
      <c r="CH22" s="37">
        <v>7.4415140000000006</v>
      </c>
      <c r="CI22" s="37">
        <v>7.2454700000000001</v>
      </c>
      <c r="CJ22" s="37">
        <v>7.2073560000000008</v>
      </c>
      <c r="CK22" s="37">
        <v>7.1192759999999993</v>
      </c>
      <c r="CL22" s="37">
        <v>7.0376629999999993</v>
      </c>
      <c r="CM22" s="37">
        <v>6.9010620000000005</v>
      </c>
      <c r="CN22" s="37">
        <v>6.9414069999999999</v>
      </c>
      <c r="CO22" s="37">
        <v>6.5648479999999996</v>
      </c>
      <c r="CP22" s="37">
        <v>6.6981360000000008</v>
      </c>
      <c r="CQ22" s="37">
        <v>6.6344130000000003</v>
      </c>
      <c r="CR22" s="38">
        <f t="shared" si="10"/>
        <v>6.6344130000000001E-2</v>
      </c>
      <c r="CS22" s="39">
        <f t="shared" si="11"/>
        <v>7.0409206666666668E-2</v>
      </c>
    </row>
    <row r="23" spans="2:97" x14ac:dyDescent="0.3">
      <c r="B23" s="37">
        <v>20</v>
      </c>
      <c r="C23" s="37">
        <v>7.5631000000000004</v>
      </c>
      <c r="D23" s="37">
        <v>7.6933999999999996</v>
      </c>
      <c r="E23" s="37">
        <v>8.4479000000000006</v>
      </c>
      <c r="F23" s="37">
        <v>8.2239000000000004</v>
      </c>
      <c r="G23" s="37">
        <v>8.1212999999999997</v>
      </c>
      <c r="H23" s="37">
        <v>7.8730000000000002</v>
      </c>
      <c r="I23" s="37">
        <v>7.6185</v>
      </c>
      <c r="J23" s="37">
        <v>7.6189</v>
      </c>
      <c r="K23" s="37">
        <v>7.6193</v>
      </c>
      <c r="L23" s="37">
        <v>7.4802</v>
      </c>
      <c r="M23" s="37">
        <v>7.2016999999999998</v>
      </c>
      <c r="N23" s="37">
        <v>6.8819999999999997</v>
      </c>
      <c r="O23" s="38">
        <f t="shared" si="0"/>
        <v>6.8819999999999992E-2</v>
      </c>
      <c r="P23" s="39">
        <f t="shared" si="1"/>
        <v>7.6952666666666655E-2</v>
      </c>
      <c r="R23" s="37">
        <v>20</v>
      </c>
      <c r="S23" s="37">
        <v>7.0129999999999999</v>
      </c>
      <c r="T23" s="37">
        <v>7.2728000000000002</v>
      </c>
      <c r="U23" s="37">
        <v>7.5224000000000002</v>
      </c>
      <c r="V23" s="37">
        <v>7.3411999999999997</v>
      </c>
      <c r="W23" s="37">
        <v>7.3121999999999998</v>
      </c>
      <c r="X23" s="37">
        <v>7.3230000000000004</v>
      </c>
      <c r="Y23" s="37">
        <v>7.1691000000000003</v>
      </c>
      <c r="Z23" s="37">
        <v>7.0545</v>
      </c>
      <c r="AA23" s="37">
        <v>7.1356000000000002</v>
      </c>
      <c r="AB23" s="37">
        <v>7.1364000000000001</v>
      </c>
      <c r="AC23" s="37">
        <v>7.0514000000000001</v>
      </c>
      <c r="AD23" s="37">
        <v>7.1151</v>
      </c>
      <c r="AE23" s="38">
        <f t="shared" si="2"/>
        <v>7.1151000000000006E-2</v>
      </c>
      <c r="AF23" s="39">
        <f t="shared" si="3"/>
        <v>7.2038916666666661E-2</v>
      </c>
      <c r="AH23" s="37">
        <v>20</v>
      </c>
      <c r="AI23" s="37">
        <v>7.0970270000000006</v>
      </c>
      <c r="AJ23" s="37">
        <v>7.0548000000000002</v>
      </c>
      <c r="AK23" s="37">
        <v>7.2680999999999996</v>
      </c>
      <c r="AL23" s="37">
        <v>7.3180959999999997</v>
      </c>
      <c r="AM23" s="37">
        <v>7.5953999999999997</v>
      </c>
      <c r="AN23" s="37">
        <v>7.5831999999999997</v>
      </c>
      <c r="AO23" s="37">
        <v>7.4481000000000002</v>
      </c>
      <c r="AP23" s="37">
        <v>7.1757999999999997</v>
      </c>
      <c r="AQ23" s="37">
        <v>7.4531000000000001</v>
      </c>
      <c r="AR23" s="37">
        <v>7.6202000000000005</v>
      </c>
      <c r="AS23" s="37">
        <v>7.2289000000000003</v>
      </c>
      <c r="AT23" s="37">
        <v>7.2423000000000002</v>
      </c>
      <c r="AU23" s="38">
        <f t="shared" si="4"/>
        <v>7.2423000000000001E-2</v>
      </c>
      <c r="AV23" s="39">
        <f t="shared" si="5"/>
        <v>7.340418583333333E-2</v>
      </c>
      <c r="AY23" s="37">
        <v>20</v>
      </c>
      <c r="AZ23" s="37">
        <v>7.0152000000000001</v>
      </c>
      <c r="BA23" s="37">
        <v>7.0884</v>
      </c>
      <c r="BB23" s="37">
        <v>7.0505680000000002</v>
      </c>
      <c r="BC23" s="37">
        <v>6.9641500000000001</v>
      </c>
      <c r="BD23" s="37">
        <v>6.7770000000000001</v>
      </c>
      <c r="BE23" s="37">
        <v>6.6860999999999997</v>
      </c>
      <c r="BF23" s="37">
        <v>6.6352000000000002</v>
      </c>
      <c r="BG23" s="37">
        <v>6.7175000000000002</v>
      </c>
      <c r="BH23" s="37">
        <v>6.9701000000000004</v>
      </c>
      <c r="BI23" s="37">
        <v>7.2241</v>
      </c>
      <c r="BJ23" s="37">
        <v>6.9138999999999999</v>
      </c>
      <c r="BK23" s="37">
        <v>6.7907999999999999</v>
      </c>
      <c r="BL23" s="38">
        <f t="shared" si="6"/>
        <v>6.7907999999999996E-2</v>
      </c>
      <c r="BM23" s="39">
        <f t="shared" si="7"/>
        <v>6.9027515000000012E-2</v>
      </c>
      <c r="BO23" s="37">
        <v>20</v>
      </c>
      <c r="BP23" s="37">
        <v>6.8582000000000001</v>
      </c>
      <c r="BQ23" s="37">
        <v>6.8582000000000001</v>
      </c>
      <c r="BR23" s="37">
        <v>6.9206000000000003</v>
      </c>
      <c r="BS23" s="37">
        <v>7.1288999999999998</v>
      </c>
      <c r="BT23" s="37">
        <v>6.9806999999999997</v>
      </c>
      <c r="BU23" s="37">
        <v>7.0690999999999997</v>
      </c>
      <c r="BV23" s="37">
        <v>7.0574000000000003</v>
      </c>
      <c r="BW23" s="37">
        <v>6.8131000000000004</v>
      </c>
      <c r="BX23" s="37">
        <v>6.7995000000000001</v>
      </c>
      <c r="BY23" s="37">
        <v>6.9794</v>
      </c>
      <c r="BZ23" s="37">
        <v>7.0490000000000004</v>
      </c>
      <c r="CA23" s="37">
        <v>7.1098999999999997</v>
      </c>
      <c r="CB23" s="38">
        <f t="shared" si="8"/>
        <v>7.1098999999999996E-2</v>
      </c>
      <c r="CC23" s="39">
        <f t="shared" si="9"/>
        <v>6.9686666666666675E-2</v>
      </c>
      <c r="CE23" s="37">
        <v>20</v>
      </c>
      <c r="CF23" s="37">
        <v>7.4284249999999998</v>
      </c>
      <c r="CG23" s="37">
        <v>7.2714779999999992</v>
      </c>
      <c r="CH23" s="37">
        <v>7.4415140000000006</v>
      </c>
      <c r="CI23" s="37">
        <v>7.2454700000000001</v>
      </c>
      <c r="CJ23" s="37">
        <v>7.2073560000000008</v>
      </c>
      <c r="CK23" s="37">
        <v>7.1192759999999993</v>
      </c>
      <c r="CL23" s="37">
        <v>7.0376629999999993</v>
      </c>
      <c r="CM23" s="37">
        <v>6.9010620000000005</v>
      </c>
      <c r="CN23" s="37">
        <v>6.9414069999999999</v>
      </c>
      <c r="CO23" s="37">
        <v>6.5648479999999996</v>
      </c>
      <c r="CP23" s="37">
        <v>6.6981360000000008</v>
      </c>
      <c r="CQ23" s="37">
        <v>6.6344130000000003</v>
      </c>
      <c r="CR23" s="38">
        <f t="shared" si="10"/>
        <v>6.6344130000000001E-2</v>
      </c>
      <c r="CS23" s="39">
        <f t="shared" si="11"/>
        <v>7.0409206666666668E-2</v>
      </c>
    </row>
    <row r="24" spans="2:97" x14ac:dyDescent="0.3">
      <c r="B24" s="37">
        <v>21</v>
      </c>
      <c r="C24" s="37">
        <v>7.5850999999999997</v>
      </c>
      <c r="D24" s="37">
        <v>7.7031000000000001</v>
      </c>
      <c r="E24" s="37">
        <v>8.4506999999999994</v>
      </c>
      <c r="F24" s="37">
        <v>8.2285000000000004</v>
      </c>
      <c r="G24" s="37">
        <v>8.1332000000000004</v>
      </c>
      <c r="H24" s="37">
        <v>7.8837999999999999</v>
      </c>
      <c r="I24" s="37">
        <v>7.6355000000000004</v>
      </c>
      <c r="J24" s="37">
        <v>7.6332500000000003</v>
      </c>
      <c r="K24" s="37">
        <v>7.6310000000000002</v>
      </c>
      <c r="L24" s="37">
        <v>7.4946000000000002</v>
      </c>
      <c r="M24" s="37">
        <v>7.2214999999999998</v>
      </c>
      <c r="N24" s="37">
        <v>6.9181999999999997</v>
      </c>
      <c r="O24" s="38">
        <f t="shared" si="0"/>
        <v>6.9181999999999994E-2</v>
      </c>
      <c r="P24" s="39">
        <f t="shared" si="1"/>
        <v>7.7098708333333349E-2</v>
      </c>
      <c r="R24" s="37">
        <v>21</v>
      </c>
      <c r="S24" s="37">
        <v>7.0265000000000004</v>
      </c>
      <c r="T24" s="37">
        <v>7.2869999999999999</v>
      </c>
      <c r="U24" s="37">
        <v>7.5448000000000004</v>
      </c>
      <c r="V24" s="37">
        <v>7.3681999999999999</v>
      </c>
      <c r="W24" s="37">
        <v>7.3464999999999998</v>
      </c>
      <c r="X24" s="37">
        <v>7.3403</v>
      </c>
      <c r="Y24" s="37">
        <v>7.1863999999999999</v>
      </c>
      <c r="Z24" s="37">
        <v>7.0777999999999999</v>
      </c>
      <c r="AA24" s="37">
        <v>7.1501000000000001</v>
      </c>
      <c r="AB24" s="37">
        <v>7.1567999999999996</v>
      </c>
      <c r="AC24" s="37">
        <v>7.0670999999999999</v>
      </c>
      <c r="AD24" s="37">
        <v>7.1272000000000002</v>
      </c>
      <c r="AE24" s="38">
        <f t="shared" si="2"/>
        <v>7.1272000000000002E-2</v>
      </c>
      <c r="AF24" s="39">
        <f t="shared" si="3"/>
        <v>7.2232249999999998E-2</v>
      </c>
      <c r="AH24" s="37">
        <v>21</v>
      </c>
      <c r="AI24" s="37">
        <v>7.1038110000000003</v>
      </c>
      <c r="AJ24" s="37">
        <v>7.0611999999999995</v>
      </c>
      <c r="AK24" s="37">
        <v>7.2711499999999996</v>
      </c>
      <c r="AL24" s="37">
        <v>7.3195370000000004</v>
      </c>
      <c r="AM24" s="37">
        <v>7.6001000000000003</v>
      </c>
      <c r="AN24" s="37">
        <v>7.5857000000000001</v>
      </c>
      <c r="AO24" s="37">
        <v>7.4489000000000001</v>
      </c>
      <c r="AP24" s="37">
        <v>7.1757999999999997</v>
      </c>
      <c r="AQ24" s="37">
        <v>7.4531000000000001</v>
      </c>
      <c r="AR24" s="37">
        <v>7.6202000000000005</v>
      </c>
      <c r="AS24" s="37">
        <v>7.2294999999999998</v>
      </c>
      <c r="AT24" s="37">
        <v>7.2485999999999997</v>
      </c>
      <c r="AU24" s="38">
        <f t="shared" si="4"/>
        <v>7.2485999999999995E-2</v>
      </c>
      <c r="AV24" s="39">
        <f t="shared" si="5"/>
        <v>7.3431331666666669E-2</v>
      </c>
      <c r="AY24" s="37">
        <v>21</v>
      </c>
      <c r="AZ24" s="37">
        <v>7.0228999999999999</v>
      </c>
      <c r="BA24" s="37">
        <v>7.0896999999999997</v>
      </c>
      <c r="BB24" s="37">
        <v>7.0553160000000004</v>
      </c>
      <c r="BC24" s="37">
        <v>6.9682389999999996</v>
      </c>
      <c r="BD24" s="37">
        <v>6.7893999999999997</v>
      </c>
      <c r="BE24" s="37">
        <v>6.7035999999999998</v>
      </c>
      <c r="BF24" s="37">
        <v>6.6486000000000001</v>
      </c>
      <c r="BG24" s="37">
        <v>6.7268999999999997</v>
      </c>
      <c r="BH24" s="37">
        <v>6.9709000000000003</v>
      </c>
      <c r="BI24" s="37">
        <v>7.2241999999999997</v>
      </c>
      <c r="BJ24" s="37">
        <v>6.9245999999999999</v>
      </c>
      <c r="BK24" s="37">
        <v>6.8045</v>
      </c>
      <c r="BL24" s="38">
        <f t="shared" si="6"/>
        <v>6.8044999999999994E-2</v>
      </c>
      <c r="BM24" s="39">
        <f t="shared" si="7"/>
        <v>6.9107379166666677E-2</v>
      </c>
      <c r="BO24" s="37">
        <v>21</v>
      </c>
      <c r="BP24" s="37">
        <v>6.8678999999999997</v>
      </c>
      <c r="BQ24" s="37">
        <v>6.8670999999999998</v>
      </c>
      <c r="BR24" s="37">
        <v>6.9298999999999999</v>
      </c>
      <c r="BS24" s="37">
        <v>7.1288999999999998</v>
      </c>
      <c r="BT24" s="37">
        <v>6.9814999999999996</v>
      </c>
      <c r="BU24" s="37">
        <v>7.0690999999999997</v>
      </c>
      <c r="BV24" s="37">
        <v>7.0594000000000001</v>
      </c>
      <c r="BW24" s="37">
        <v>6.8182999999999998</v>
      </c>
      <c r="BX24" s="37">
        <v>6.8113999999999999</v>
      </c>
      <c r="BY24" s="37">
        <v>6.9806999999999997</v>
      </c>
      <c r="BZ24" s="37">
        <v>7.0510000000000002</v>
      </c>
      <c r="CA24" s="37">
        <v>7.1105</v>
      </c>
      <c r="CB24" s="38">
        <f t="shared" si="8"/>
        <v>7.1105000000000002E-2</v>
      </c>
      <c r="CC24" s="39">
        <f t="shared" si="9"/>
        <v>6.9729749999999993E-2</v>
      </c>
      <c r="CE24" s="37">
        <v>21</v>
      </c>
      <c r="CF24" s="37">
        <v>7.4284249999999998</v>
      </c>
      <c r="CG24" s="37">
        <v>7.2714779999999992</v>
      </c>
      <c r="CH24" s="37">
        <v>7.4415140000000006</v>
      </c>
      <c r="CI24" s="37">
        <v>7.2454700000000001</v>
      </c>
      <c r="CJ24" s="37">
        <v>7.2073560000000008</v>
      </c>
      <c r="CK24" s="37">
        <v>7.1192759999999993</v>
      </c>
      <c r="CL24" s="37">
        <v>7.0376629999999993</v>
      </c>
      <c r="CM24" s="37">
        <v>6.9010620000000005</v>
      </c>
      <c r="CN24" s="37">
        <v>6.9414069999999999</v>
      </c>
      <c r="CO24" s="37">
        <v>6.5648479999999996</v>
      </c>
      <c r="CP24" s="37">
        <v>6.6981360000000008</v>
      </c>
      <c r="CQ24" s="37">
        <v>6.6344130000000003</v>
      </c>
      <c r="CR24" s="38">
        <f t="shared" si="10"/>
        <v>6.6344130000000001E-2</v>
      </c>
      <c r="CS24" s="39">
        <f t="shared" si="11"/>
        <v>7.0409206666666668E-2</v>
      </c>
    </row>
    <row r="25" spans="2:97" x14ac:dyDescent="0.3">
      <c r="B25" s="37">
        <v>22</v>
      </c>
      <c r="C25" s="37">
        <v>7.6031000000000004</v>
      </c>
      <c r="D25" s="37">
        <v>7.7104999999999997</v>
      </c>
      <c r="E25" s="37">
        <v>8.4526000000000003</v>
      </c>
      <c r="F25" s="37">
        <v>8.2323000000000004</v>
      </c>
      <c r="G25" s="37">
        <v>8.1423000000000005</v>
      </c>
      <c r="H25" s="37">
        <v>7.8921000000000001</v>
      </c>
      <c r="I25" s="37">
        <v>7.6492000000000004</v>
      </c>
      <c r="J25" s="37">
        <v>7.6445500000000006</v>
      </c>
      <c r="K25" s="37">
        <v>7.6398999999999999</v>
      </c>
      <c r="L25" s="37">
        <v>7.5057999999999998</v>
      </c>
      <c r="M25" s="37">
        <v>7.2370000000000001</v>
      </c>
      <c r="N25" s="37">
        <v>6.9503000000000004</v>
      </c>
      <c r="O25" s="38">
        <f t="shared" si="0"/>
        <v>6.9503000000000009E-2</v>
      </c>
      <c r="P25" s="39">
        <f t="shared" si="1"/>
        <v>7.721637499999999E-2</v>
      </c>
      <c r="R25" s="37">
        <v>22</v>
      </c>
      <c r="S25" s="37">
        <v>7.0366999999999997</v>
      </c>
      <c r="T25" s="37">
        <v>7.2981999999999996</v>
      </c>
      <c r="U25" s="37">
        <v>7.5635000000000003</v>
      </c>
      <c r="V25" s="37">
        <v>7.391</v>
      </c>
      <c r="W25" s="37">
        <v>7.3764000000000003</v>
      </c>
      <c r="X25" s="37">
        <v>7.3540000000000001</v>
      </c>
      <c r="Y25" s="37">
        <v>7.1997999999999998</v>
      </c>
      <c r="Z25" s="37">
        <v>7.0964999999999998</v>
      </c>
      <c r="AA25" s="37">
        <v>7.1611000000000002</v>
      </c>
      <c r="AB25" s="37">
        <v>7.173</v>
      </c>
      <c r="AC25" s="37">
        <v>7.0795000000000003</v>
      </c>
      <c r="AD25" s="37">
        <v>7.1364999999999998</v>
      </c>
      <c r="AE25" s="38">
        <f t="shared" si="2"/>
        <v>7.1364999999999998E-2</v>
      </c>
      <c r="AF25" s="39">
        <f t="shared" si="3"/>
        <v>7.2388499999999995E-2</v>
      </c>
      <c r="AH25" s="37">
        <v>22</v>
      </c>
      <c r="AI25" s="37">
        <v>7.1088940000000003</v>
      </c>
      <c r="AJ25" s="37">
        <v>7.0659000000000001</v>
      </c>
      <c r="AK25" s="37">
        <v>7.2738999999999994</v>
      </c>
      <c r="AL25" s="37">
        <v>7.3204880000000001</v>
      </c>
      <c r="AM25" s="37">
        <v>7.6036999999999999</v>
      </c>
      <c r="AN25" s="37">
        <v>7.5875000000000004</v>
      </c>
      <c r="AO25" s="37">
        <v>7.4493999999999998</v>
      </c>
      <c r="AP25" s="37">
        <v>7.1757999999999997</v>
      </c>
      <c r="AQ25" s="37">
        <v>7.4531000000000001</v>
      </c>
      <c r="AR25" s="37">
        <v>7.6202000000000005</v>
      </c>
      <c r="AS25" s="37">
        <v>7.2298999999999998</v>
      </c>
      <c r="AT25" s="37">
        <v>7.2535999999999987</v>
      </c>
      <c r="AU25" s="38">
        <f t="shared" si="4"/>
        <v>7.2535999999999989E-2</v>
      </c>
      <c r="AV25" s="39">
        <f t="shared" si="5"/>
        <v>7.3451984999999997E-2</v>
      </c>
      <c r="AY25" s="37">
        <v>22</v>
      </c>
      <c r="AZ25" s="37">
        <v>7.0289999999999999</v>
      </c>
      <c r="BA25" s="37">
        <v>7.0904999999999996</v>
      </c>
      <c r="BB25" s="37">
        <v>7.0588290000000002</v>
      </c>
      <c r="BC25" s="37">
        <v>6.9712149999999999</v>
      </c>
      <c r="BD25" s="37">
        <v>6.7999000000000001</v>
      </c>
      <c r="BE25" s="37">
        <v>6.7188999999999997</v>
      </c>
      <c r="BF25" s="37">
        <v>6.6603000000000003</v>
      </c>
      <c r="BG25" s="37">
        <v>6.7347000000000001</v>
      </c>
      <c r="BH25" s="37">
        <v>6.9714999999999998</v>
      </c>
      <c r="BI25" s="37">
        <v>7.2243000000000004</v>
      </c>
      <c r="BJ25" s="37">
        <v>6.9341999999999997</v>
      </c>
      <c r="BK25" s="37">
        <v>6.8170999999999999</v>
      </c>
      <c r="BL25" s="38">
        <f t="shared" si="6"/>
        <v>6.8170999999999995E-2</v>
      </c>
      <c r="BM25" s="39">
        <f t="shared" si="7"/>
        <v>6.917537E-2</v>
      </c>
      <c r="BO25" s="37">
        <v>22</v>
      </c>
      <c r="BP25" s="37">
        <v>6.8761999999999999</v>
      </c>
      <c r="BQ25" s="37">
        <v>6.8746999999999998</v>
      </c>
      <c r="BR25" s="37">
        <v>6.9378000000000002</v>
      </c>
      <c r="BS25" s="37">
        <v>7.1288999999999998</v>
      </c>
      <c r="BT25" s="37">
        <v>6.9820000000000002</v>
      </c>
      <c r="BU25" s="37">
        <v>7.0690999999999997</v>
      </c>
      <c r="BV25" s="37">
        <v>7.0609999999999999</v>
      </c>
      <c r="BW25" s="37">
        <v>6.8227000000000002</v>
      </c>
      <c r="BX25" s="37">
        <v>6.8212999999999999</v>
      </c>
      <c r="BY25" s="37">
        <v>6.9816000000000003</v>
      </c>
      <c r="BZ25" s="37">
        <v>7.0525000000000002</v>
      </c>
      <c r="CA25" s="37">
        <v>7.1109000000000009</v>
      </c>
      <c r="CB25" s="38">
        <f t="shared" si="8"/>
        <v>7.1109000000000006E-2</v>
      </c>
      <c r="CC25" s="39">
        <f t="shared" si="9"/>
        <v>6.9765583333333325E-2</v>
      </c>
      <c r="CE25" s="37">
        <v>22</v>
      </c>
      <c r="CF25" s="37">
        <v>7.4284249999999998</v>
      </c>
      <c r="CG25" s="37">
        <v>7.2714779999999992</v>
      </c>
      <c r="CH25" s="37">
        <v>7.4415140000000006</v>
      </c>
      <c r="CI25" s="37">
        <v>7.2454700000000001</v>
      </c>
      <c r="CJ25" s="37">
        <v>7.2073560000000008</v>
      </c>
      <c r="CK25" s="37">
        <v>7.1192759999999993</v>
      </c>
      <c r="CL25" s="37">
        <v>7.0376629999999993</v>
      </c>
      <c r="CM25" s="37">
        <v>6.9010620000000005</v>
      </c>
      <c r="CN25" s="37">
        <v>6.9414069999999999</v>
      </c>
      <c r="CO25" s="37">
        <v>6.5648479999999996</v>
      </c>
      <c r="CP25" s="37">
        <v>6.6981360000000008</v>
      </c>
      <c r="CQ25" s="37">
        <v>6.6344130000000003</v>
      </c>
      <c r="CR25" s="38">
        <f t="shared" si="10"/>
        <v>6.6344130000000001E-2</v>
      </c>
      <c r="CS25" s="39">
        <f t="shared" si="11"/>
        <v>7.0409206666666668E-2</v>
      </c>
    </row>
    <row r="26" spans="2:97" x14ac:dyDescent="0.3">
      <c r="B26" s="37">
        <v>23</v>
      </c>
      <c r="C26" s="37">
        <v>7.6177999999999999</v>
      </c>
      <c r="D26" s="37">
        <v>7.7160000000000002</v>
      </c>
      <c r="E26" s="37">
        <v>8.4539000000000009</v>
      </c>
      <c r="F26" s="37">
        <v>8.2353000000000005</v>
      </c>
      <c r="G26" s="37">
        <v>8.1489999999999991</v>
      </c>
      <c r="H26" s="37">
        <v>7.8982999999999999</v>
      </c>
      <c r="I26" s="37">
        <v>7.6603000000000003</v>
      </c>
      <c r="J26" s="37">
        <v>7.6535000000000002</v>
      </c>
      <c r="K26" s="37">
        <v>7.6467000000000001</v>
      </c>
      <c r="L26" s="37">
        <v>7.5145</v>
      </c>
      <c r="M26" s="37">
        <v>7.2489999999999997</v>
      </c>
      <c r="N26" s="37">
        <v>6.9787999999999997</v>
      </c>
      <c r="O26" s="38">
        <f t="shared" si="0"/>
        <v>6.9788000000000003E-2</v>
      </c>
      <c r="P26" s="39">
        <f t="shared" si="1"/>
        <v>7.7310916666666674E-2</v>
      </c>
      <c r="R26" s="37">
        <v>23</v>
      </c>
      <c r="S26" s="37">
        <v>7.0445000000000002</v>
      </c>
      <c r="T26" s="37">
        <v>7.3071000000000002</v>
      </c>
      <c r="U26" s="37">
        <v>7.5791000000000004</v>
      </c>
      <c r="V26" s="37">
        <v>7.4103000000000003</v>
      </c>
      <c r="W26" s="37">
        <v>7.4025999999999996</v>
      </c>
      <c r="X26" s="37">
        <v>7.3647</v>
      </c>
      <c r="Y26" s="37">
        <v>7.2100999999999997</v>
      </c>
      <c r="Z26" s="37">
        <v>7.1113999999999997</v>
      </c>
      <c r="AA26" s="37">
        <v>7.1692999999999998</v>
      </c>
      <c r="AB26" s="37">
        <v>7.1856999999999998</v>
      </c>
      <c r="AC26" s="37">
        <v>7.0894000000000004</v>
      </c>
      <c r="AD26" s="37">
        <v>7.1436999999999999</v>
      </c>
      <c r="AE26" s="38">
        <f t="shared" si="2"/>
        <v>7.1437E-2</v>
      </c>
      <c r="AF26" s="39">
        <f t="shared" si="3"/>
        <v>7.2514916666666651E-2</v>
      </c>
      <c r="AH26" s="37">
        <v>23</v>
      </c>
      <c r="AI26" s="37">
        <v>7.1126940000000003</v>
      </c>
      <c r="AJ26" s="37">
        <v>7.0694000000000008</v>
      </c>
      <c r="AK26" s="37">
        <v>7.2755999999999998</v>
      </c>
      <c r="AL26" s="37">
        <v>7.3211130000000004</v>
      </c>
      <c r="AM26" s="37">
        <v>7.6063999999999998</v>
      </c>
      <c r="AN26" s="37">
        <v>7.5888</v>
      </c>
      <c r="AO26" s="37">
        <v>7.4497</v>
      </c>
      <c r="AP26" s="37">
        <v>7.1757999999999997</v>
      </c>
      <c r="AQ26" s="37">
        <v>7.4531000000000001</v>
      </c>
      <c r="AR26" s="37">
        <v>7.6202000000000005</v>
      </c>
      <c r="AS26" s="37">
        <v>7.2301000000000002</v>
      </c>
      <c r="AT26" s="37">
        <v>7.2575000000000003</v>
      </c>
      <c r="AU26" s="38">
        <f t="shared" si="4"/>
        <v>7.2575000000000001E-2</v>
      </c>
      <c r="AV26" s="39">
        <f t="shared" si="5"/>
        <v>7.3467005833333335E-2</v>
      </c>
      <c r="AY26" s="37">
        <v>23</v>
      </c>
      <c r="AZ26" s="37">
        <v>7.0336999999999996</v>
      </c>
      <c r="BA26" s="37">
        <v>7.0910000000000002</v>
      </c>
      <c r="BB26" s="37">
        <v>7.0614119999999998</v>
      </c>
      <c r="BC26" s="37">
        <v>6.9733689999999999</v>
      </c>
      <c r="BD26" s="37">
        <v>6.8089000000000004</v>
      </c>
      <c r="BE26" s="37">
        <v>6.7324999999999999</v>
      </c>
      <c r="BF26" s="37">
        <v>6.6704999999999997</v>
      </c>
      <c r="BG26" s="37">
        <v>6.7411000000000003</v>
      </c>
      <c r="BH26" s="37">
        <v>6.9718999999999998</v>
      </c>
      <c r="BI26" s="37">
        <v>7.2244000000000002</v>
      </c>
      <c r="BJ26" s="37">
        <v>6.9428999999999998</v>
      </c>
      <c r="BK26" s="37">
        <v>6.8288000000000002</v>
      </c>
      <c r="BL26" s="38">
        <f t="shared" si="6"/>
        <v>6.8288000000000001E-2</v>
      </c>
      <c r="BM26" s="39">
        <f t="shared" si="7"/>
        <v>6.9233734166666658E-2</v>
      </c>
      <c r="BO26" s="37">
        <v>23</v>
      </c>
      <c r="BP26" s="37">
        <v>6.8833000000000002</v>
      </c>
      <c r="BQ26" s="37">
        <v>6.8811</v>
      </c>
      <c r="BR26" s="37">
        <v>6.9444999999999997</v>
      </c>
      <c r="BS26" s="37">
        <v>7.1288999999999998</v>
      </c>
      <c r="BT26" s="37">
        <v>6.9824000000000002</v>
      </c>
      <c r="BU26" s="37">
        <v>7.0690999999999997</v>
      </c>
      <c r="BV26" s="37">
        <v>7.0621</v>
      </c>
      <c r="BW26" s="37">
        <v>6.8265000000000002</v>
      </c>
      <c r="BX26" s="37">
        <v>6.8296000000000001</v>
      </c>
      <c r="BY26" s="37">
        <v>6.9821999999999997</v>
      </c>
      <c r="BZ26" s="37">
        <v>7.0536000000000003</v>
      </c>
      <c r="CA26" s="37">
        <v>7.1112000000000011</v>
      </c>
      <c r="CB26" s="38">
        <f t="shared" si="8"/>
        <v>7.1112000000000009E-2</v>
      </c>
      <c r="CC26" s="39">
        <f t="shared" si="9"/>
        <v>6.9795416666666665E-2</v>
      </c>
      <c r="CE26" s="37">
        <v>23</v>
      </c>
      <c r="CF26" s="37">
        <v>7.4284249999999998</v>
      </c>
      <c r="CG26" s="37">
        <v>7.2714779999999992</v>
      </c>
      <c r="CH26" s="37">
        <v>7.4415140000000006</v>
      </c>
      <c r="CI26" s="37">
        <v>7.2454700000000001</v>
      </c>
      <c r="CJ26" s="37">
        <v>7.2073560000000008</v>
      </c>
      <c r="CK26" s="37">
        <v>7.1192759999999993</v>
      </c>
      <c r="CL26" s="37">
        <v>7.0376629999999993</v>
      </c>
      <c r="CM26" s="37">
        <v>6.9010620000000005</v>
      </c>
      <c r="CN26" s="37">
        <v>6.9414069999999999</v>
      </c>
      <c r="CO26" s="37">
        <v>6.5648479999999996</v>
      </c>
      <c r="CP26" s="37">
        <v>6.6981360000000008</v>
      </c>
      <c r="CQ26" s="37">
        <v>6.6344130000000003</v>
      </c>
      <c r="CR26" s="38">
        <f t="shared" si="10"/>
        <v>6.6344130000000001E-2</v>
      </c>
      <c r="CS26" s="39">
        <f t="shared" si="11"/>
        <v>7.0409206666666668E-2</v>
      </c>
    </row>
    <row r="27" spans="2:97" x14ac:dyDescent="0.3">
      <c r="B27" s="37">
        <v>24</v>
      </c>
      <c r="C27" s="37">
        <v>7.6295999999999999</v>
      </c>
      <c r="D27" s="37">
        <v>7.7202000000000002</v>
      </c>
      <c r="E27" s="37">
        <v>8.4549000000000003</v>
      </c>
      <c r="F27" s="37">
        <v>8.2378</v>
      </c>
      <c r="G27" s="37">
        <v>8.1540999999999997</v>
      </c>
      <c r="H27" s="37">
        <v>7.9029999999999996</v>
      </c>
      <c r="I27" s="37">
        <v>7.6692</v>
      </c>
      <c r="J27" s="37">
        <v>7.6604999999999999</v>
      </c>
      <c r="K27" s="37">
        <v>7.6517999999999997</v>
      </c>
      <c r="L27" s="37">
        <v>7.5213000000000001</v>
      </c>
      <c r="M27" s="37">
        <v>7.2489999999999997</v>
      </c>
      <c r="N27" s="37">
        <v>7.0038999999999998</v>
      </c>
      <c r="O27" s="38">
        <f t="shared" si="0"/>
        <v>7.0039000000000004E-2</v>
      </c>
      <c r="P27" s="39">
        <f t="shared" si="1"/>
        <v>7.7379416666666645E-2</v>
      </c>
      <c r="R27" s="37">
        <v>24</v>
      </c>
      <c r="S27" s="37">
        <v>7.0503999999999998</v>
      </c>
      <c r="T27" s="37">
        <v>7.3141999999999996</v>
      </c>
      <c r="U27" s="37">
        <v>7.5919999999999996</v>
      </c>
      <c r="V27" s="37">
        <v>7.4264999999999999</v>
      </c>
      <c r="W27" s="37">
        <v>7.4253</v>
      </c>
      <c r="X27" s="37">
        <v>7.3730000000000002</v>
      </c>
      <c r="Y27" s="37">
        <v>7.218</v>
      </c>
      <c r="Z27" s="37">
        <v>7.1231999999999998</v>
      </c>
      <c r="AA27" s="37">
        <v>7.1753999999999998</v>
      </c>
      <c r="AB27" s="37">
        <v>7.1958000000000002</v>
      </c>
      <c r="AC27" s="37">
        <v>7.0972999999999997</v>
      </c>
      <c r="AD27" s="37">
        <v>7.1492000000000004</v>
      </c>
      <c r="AE27" s="38">
        <f t="shared" si="2"/>
        <v>7.1492E-2</v>
      </c>
      <c r="AF27" s="39">
        <f t="shared" si="3"/>
        <v>7.261691666666667E-2</v>
      </c>
      <c r="AH27" s="37">
        <v>24</v>
      </c>
      <c r="AI27" s="37">
        <v>7.1155309999999998</v>
      </c>
      <c r="AJ27" s="37">
        <v>7.072000000000001</v>
      </c>
      <c r="AK27" s="37">
        <v>7.2766999999999999</v>
      </c>
      <c r="AL27" s="37">
        <v>7.3215219999999999</v>
      </c>
      <c r="AM27" s="37">
        <v>7.6083999999999996</v>
      </c>
      <c r="AN27" s="37">
        <v>7.5898000000000003</v>
      </c>
      <c r="AO27" s="37">
        <v>7.45</v>
      </c>
      <c r="AP27" s="37">
        <v>7.1757999999999997</v>
      </c>
      <c r="AQ27" s="37">
        <v>7.4531000000000001</v>
      </c>
      <c r="AR27" s="37">
        <v>7.6202000000000005</v>
      </c>
      <c r="AS27" s="37">
        <v>7.2302</v>
      </c>
      <c r="AT27" s="37">
        <v>7.2606000000000002</v>
      </c>
      <c r="AU27" s="38">
        <f t="shared" si="4"/>
        <v>7.2606000000000004E-2</v>
      </c>
      <c r="AV27" s="39">
        <f t="shared" si="5"/>
        <v>7.3478210833333335E-2</v>
      </c>
      <c r="AY27" s="37">
        <v>24</v>
      </c>
      <c r="AZ27" s="37">
        <v>7.0373000000000001</v>
      </c>
      <c r="BA27" s="37">
        <v>7.0914000000000001</v>
      </c>
      <c r="BB27" s="37">
        <v>7.0633030000000003</v>
      </c>
      <c r="BC27" s="37">
        <v>6.97492</v>
      </c>
      <c r="BD27" s="37">
        <v>6.8164999999999996</v>
      </c>
      <c r="BE27" s="37">
        <v>6.7443</v>
      </c>
      <c r="BF27" s="37">
        <v>6.6792999999999996</v>
      </c>
      <c r="BG27" s="37">
        <v>6.7464000000000004</v>
      </c>
      <c r="BH27" s="37">
        <v>6.9721000000000002</v>
      </c>
      <c r="BI27" s="37">
        <v>7.2244000000000002</v>
      </c>
      <c r="BJ27" s="37">
        <v>6.9504999999999999</v>
      </c>
      <c r="BK27" s="37">
        <v>6.8395999999999999</v>
      </c>
      <c r="BL27" s="38">
        <f t="shared" si="6"/>
        <v>6.8395999999999998E-2</v>
      </c>
      <c r="BM27" s="39">
        <f t="shared" si="7"/>
        <v>6.9283352500000006E-2</v>
      </c>
      <c r="BO27" s="37">
        <v>24</v>
      </c>
      <c r="BP27" s="37">
        <v>6.8893000000000004</v>
      </c>
      <c r="BQ27" s="37">
        <v>6.8865999999999996</v>
      </c>
      <c r="BR27" s="37">
        <v>6.9501999999999997</v>
      </c>
      <c r="BS27" s="37">
        <v>7.1288999999999998</v>
      </c>
      <c r="BT27" s="37">
        <v>6.9825999999999997</v>
      </c>
      <c r="BU27" s="37">
        <v>7.0690999999999997</v>
      </c>
      <c r="BV27" s="37">
        <v>7.0629</v>
      </c>
      <c r="BW27" s="37">
        <v>6.8296000000000001</v>
      </c>
      <c r="BX27" s="37">
        <v>6.8365</v>
      </c>
      <c r="BY27" s="37">
        <v>6.9825999999999997</v>
      </c>
      <c r="BZ27" s="37">
        <v>7.0545</v>
      </c>
      <c r="CA27" s="37">
        <v>7.1113999999999997</v>
      </c>
      <c r="CB27" s="38">
        <f t="shared" si="8"/>
        <v>7.1113999999999997E-2</v>
      </c>
      <c r="CC27" s="39">
        <f t="shared" si="9"/>
        <v>6.9820166666666669E-2</v>
      </c>
      <c r="CE27" s="37">
        <v>24</v>
      </c>
      <c r="CF27" s="37">
        <v>7.4284249999999998</v>
      </c>
      <c r="CG27" s="37">
        <v>7.2714779999999992</v>
      </c>
      <c r="CH27" s="37">
        <v>7.4415140000000006</v>
      </c>
      <c r="CI27" s="37">
        <v>7.2454700000000001</v>
      </c>
      <c r="CJ27" s="37">
        <v>7.2073560000000008</v>
      </c>
      <c r="CK27" s="37">
        <v>7.1192759999999993</v>
      </c>
      <c r="CL27" s="37">
        <v>7.0376629999999993</v>
      </c>
      <c r="CM27" s="37">
        <v>6.9010620000000005</v>
      </c>
      <c r="CN27" s="37">
        <v>6.9414069999999999</v>
      </c>
      <c r="CO27" s="37">
        <v>6.5648479999999996</v>
      </c>
      <c r="CP27" s="37">
        <v>6.6981360000000008</v>
      </c>
      <c r="CQ27" s="37">
        <v>6.6344130000000003</v>
      </c>
      <c r="CR27" s="38">
        <f t="shared" si="10"/>
        <v>6.6344130000000001E-2</v>
      </c>
      <c r="CS27" s="39">
        <f t="shared" si="11"/>
        <v>7.0409206666666668E-2</v>
      </c>
    </row>
    <row r="28" spans="2:97" x14ac:dyDescent="0.3">
      <c r="B28" s="37">
        <v>25</v>
      </c>
      <c r="C28" s="37">
        <v>7.6391</v>
      </c>
      <c r="D28" s="37">
        <v>7.7233999999999998</v>
      </c>
      <c r="E28" s="37">
        <v>8.4555000000000007</v>
      </c>
      <c r="F28" s="37">
        <v>8.2396999999999991</v>
      </c>
      <c r="G28" s="37">
        <v>8.1577999999999999</v>
      </c>
      <c r="H28" s="37">
        <v>7.9065000000000003</v>
      </c>
      <c r="I28" s="37">
        <v>7.6764000000000001</v>
      </c>
      <c r="J28" s="37">
        <v>7.6660000000000004</v>
      </c>
      <c r="K28" s="37">
        <v>7.6555999999999997</v>
      </c>
      <c r="L28" s="37">
        <v>7.5265000000000004</v>
      </c>
      <c r="M28" s="37">
        <v>7.2655000000000003</v>
      </c>
      <c r="N28" s="37">
        <v>7.0259999999999998</v>
      </c>
      <c r="O28" s="38">
        <f t="shared" si="0"/>
        <v>7.0260000000000003E-2</v>
      </c>
      <c r="P28" s="39">
        <f t="shared" si="1"/>
        <v>7.7448333333333327E-2</v>
      </c>
      <c r="R28" s="37">
        <v>25</v>
      </c>
      <c r="S28" s="37">
        <v>7.0548999999999999</v>
      </c>
      <c r="T28" s="37">
        <v>7.3197000000000001</v>
      </c>
      <c r="U28" s="37">
        <v>7.6025999999999998</v>
      </c>
      <c r="V28" s="37">
        <v>7.4401000000000002</v>
      </c>
      <c r="W28" s="37">
        <v>7.4448999999999996</v>
      </c>
      <c r="X28" s="37">
        <v>7.3795000000000002</v>
      </c>
      <c r="Y28" s="37">
        <v>7.2240000000000002</v>
      </c>
      <c r="Z28" s="37">
        <v>7.1325000000000003</v>
      </c>
      <c r="AA28" s="37">
        <v>7.18</v>
      </c>
      <c r="AB28" s="37">
        <v>7.2035999999999998</v>
      </c>
      <c r="AC28" s="37">
        <v>7.1035000000000004</v>
      </c>
      <c r="AD28" s="37">
        <v>7.1535000000000002</v>
      </c>
      <c r="AE28" s="38">
        <f t="shared" si="2"/>
        <v>7.1535000000000001E-2</v>
      </c>
      <c r="AF28" s="39">
        <f t="shared" si="3"/>
        <v>7.2698999999999986E-2</v>
      </c>
      <c r="AH28" s="37">
        <v>25</v>
      </c>
      <c r="AI28" s="37">
        <v>7.1176440000000003</v>
      </c>
      <c r="AJ28" s="37">
        <v>7.0739000000000001</v>
      </c>
      <c r="AK28" s="37">
        <v>7.2775000000000007</v>
      </c>
      <c r="AL28" s="37">
        <v>7.3217879999999997</v>
      </c>
      <c r="AM28" s="37">
        <v>7.6097999999999999</v>
      </c>
      <c r="AN28" s="37">
        <v>7.5903999999999998</v>
      </c>
      <c r="AO28" s="37">
        <v>7.4500999999999999</v>
      </c>
      <c r="AP28" s="37">
        <v>7.1757999999999997</v>
      </c>
      <c r="AQ28" s="37">
        <v>7.4531000000000001</v>
      </c>
      <c r="AR28" s="37">
        <v>7.6202000000000005</v>
      </c>
      <c r="AS28" s="37">
        <v>7.2302999999999997</v>
      </c>
      <c r="AT28" s="37">
        <v>7.2630999999999997</v>
      </c>
      <c r="AU28" s="38">
        <f t="shared" si="4"/>
        <v>7.2631000000000001E-2</v>
      </c>
      <c r="AV28" s="39">
        <f t="shared" si="5"/>
        <v>7.3486360000000001E-2</v>
      </c>
      <c r="AY28" s="37">
        <v>25</v>
      </c>
      <c r="AZ28" s="37">
        <v>7.0400999999999998</v>
      </c>
      <c r="BA28" s="37">
        <v>7.0915999999999997</v>
      </c>
      <c r="BB28" s="37">
        <v>7.0646789999999999</v>
      </c>
      <c r="BC28" s="37">
        <v>6.9760309999999999</v>
      </c>
      <c r="BD28" s="37">
        <v>6.8230000000000004</v>
      </c>
      <c r="BE28" s="37">
        <v>6.7545999999999999</v>
      </c>
      <c r="BF28" s="37">
        <v>6.6870000000000003</v>
      </c>
      <c r="BG28" s="37">
        <v>6.7507999999999999</v>
      </c>
      <c r="BH28" s="37">
        <v>6.9722999999999997</v>
      </c>
      <c r="BI28" s="37">
        <v>7.2244000000000002</v>
      </c>
      <c r="BJ28" s="37">
        <v>6.9573</v>
      </c>
      <c r="BK28" s="37">
        <v>6.8494999999999999</v>
      </c>
      <c r="BL28" s="38">
        <f t="shared" si="6"/>
        <v>6.8495E-2</v>
      </c>
      <c r="BM28" s="39">
        <f t="shared" si="7"/>
        <v>6.9326091666666659E-2</v>
      </c>
      <c r="BO28" s="37">
        <v>25</v>
      </c>
      <c r="BP28" s="37">
        <v>6.8943000000000003</v>
      </c>
      <c r="BQ28" s="37">
        <v>6.8913000000000002</v>
      </c>
      <c r="BR28" s="37">
        <v>6.9550000000000001</v>
      </c>
      <c r="BS28" s="37">
        <v>7.1288999999999998</v>
      </c>
      <c r="BT28" s="37">
        <v>6.9828000000000001</v>
      </c>
      <c r="BU28" s="37">
        <v>7.0690999999999997</v>
      </c>
      <c r="BV28" s="37">
        <v>7.0633999999999997</v>
      </c>
      <c r="BW28" s="37">
        <v>6.8323</v>
      </c>
      <c r="BX28" s="37">
        <v>6.8422000000000001</v>
      </c>
      <c r="BY28" s="37">
        <v>6.9828999999999999</v>
      </c>
      <c r="BZ28" s="37">
        <v>7.0551000000000004</v>
      </c>
      <c r="CA28" s="37">
        <v>7.1114999999999995</v>
      </c>
      <c r="CB28" s="38">
        <f t="shared" si="8"/>
        <v>7.1114999999999998E-2</v>
      </c>
      <c r="CC28" s="39">
        <f t="shared" si="9"/>
        <v>6.9840666666666662E-2</v>
      </c>
      <c r="CE28" s="37">
        <v>25</v>
      </c>
      <c r="CF28" s="37">
        <v>7.4284249999999998</v>
      </c>
      <c r="CG28" s="37">
        <v>7.2714779999999992</v>
      </c>
      <c r="CH28" s="37">
        <v>7.4415140000000006</v>
      </c>
      <c r="CI28" s="37">
        <v>7.2454700000000001</v>
      </c>
      <c r="CJ28" s="37">
        <v>7.2073560000000008</v>
      </c>
      <c r="CK28" s="37">
        <v>7.1192759999999993</v>
      </c>
      <c r="CL28" s="37">
        <v>7.0376629999999993</v>
      </c>
      <c r="CM28" s="37">
        <v>6.9010620000000005</v>
      </c>
      <c r="CN28" s="37">
        <v>6.9414069999999999</v>
      </c>
      <c r="CO28" s="37">
        <v>6.5648479999999996</v>
      </c>
      <c r="CP28" s="37">
        <v>6.6981360000000008</v>
      </c>
      <c r="CQ28" s="37">
        <v>6.6344130000000003</v>
      </c>
      <c r="CR28" s="38">
        <f t="shared" si="10"/>
        <v>6.6344130000000001E-2</v>
      </c>
      <c r="CS28" s="39">
        <f t="shared" si="11"/>
        <v>7.0409206666666668E-2</v>
      </c>
    </row>
    <row r="29" spans="2:97" x14ac:dyDescent="0.3">
      <c r="B29" s="37">
        <v>26</v>
      </c>
      <c r="C29" s="37">
        <v>7.6467000000000001</v>
      </c>
      <c r="D29" s="37">
        <v>7.7256999999999998</v>
      </c>
      <c r="E29" s="37">
        <v>8.4559999999999995</v>
      </c>
      <c r="F29" s="37">
        <v>8.2413000000000007</v>
      </c>
      <c r="G29" s="37">
        <v>8.1606000000000005</v>
      </c>
      <c r="H29" s="37">
        <v>7.9092000000000002</v>
      </c>
      <c r="I29" s="37">
        <v>7.6821000000000002</v>
      </c>
      <c r="J29" s="37">
        <v>7.6703000000000001</v>
      </c>
      <c r="K29" s="37">
        <v>7.6585000000000001</v>
      </c>
      <c r="L29" s="37">
        <v>7.5305</v>
      </c>
      <c r="M29" s="37">
        <v>7.2709999999999999</v>
      </c>
      <c r="N29" s="37">
        <v>7.0454999999999997</v>
      </c>
      <c r="O29" s="38">
        <f t="shared" si="0"/>
        <v>7.045499999999999E-2</v>
      </c>
      <c r="P29" s="39">
        <f t="shared" si="1"/>
        <v>7.7497833333333335E-2</v>
      </c>
      <c r="R29" s="37">
        <v>26</v>
      </c>
      <c r="S29" s="37">
        <v>7.0582000000000003</v>
      </c>
      <c r="T29" s="37">
        <v>7.3239999999999998</v>
      </c>
      <c r="U29" s="37">
        <v>7.6113</v>
      </c>
      <c r="V29" s="37">
        <v>7.4515000000000002</v>
      </c>
      <c r="W29" s="37">
        <v>7.4619</v>
      </c>
      <c r="X29" s="37">
        <v>7.3845999999999998</v>
      </c>
      <c r="Y29" s="37">
        <v>7.2285000000000004</v>
      </c>
      <c r="Z29" s="37">
        <v>7.1398999999999999</v>
      </c>
      <c r="AA29" s="37">
        <v>7.1833999999999998</v>
      </c>
      <c r="AB29" s="37">
        <v>7.2098000000000004</v>
      </c>
      <c r="AC29" s="37">
        <v>7.1083999999999996</v>
      </c>
      <c r="AD29" s="37">
        <v>7.1567999999999996</v>
      </c>
      <c r="AE29" s="38">
        <f t="shared" si="2"/>
        <v>7.1567999999999993E-2</v>
      </c>
      <c r="AF29" s="39">
        <f t="shared" si="3"/>
        <v>7.2765250000000004E-2</v>
      </c>
      <c r="AH29" s="37">
        <v>26</v>
      </c>
      <c r="AI29" s="37">
        <v>7.1192160000000007</v>
      </c>
      <c r="AJ29" s="37">
        <v>7.0752999999999995</v>
      </c>
      <c r="AK29" s="37">
        <v>7.2779999999999996</v>
      </c>
      <c r="AL29" s="37">
        <v>7.3219609999999999</v>
      </c>
      <c r="AM29" s="37">
        <v>7.6109</v>
      </c>
      <c r="AN29" s="37">
        <v>7.5909000000000004</v>
      </c>
      <c r="AO29" s="37">
        <v>7.4501999999999997</v>
      </c>
      <c r="AP29" s="37">
        <v>7.1757999999999997</v>
      </c>
      <c r="AQ29" s="37">
        <v>7.4531000000000001</v>
      </c>
      <c r="AR29" s="37">
        <v>7.6203000000000003</v>
      </c>
      <c r="AS29" s="37">
        <v>7.2304000000000004</v>
      </c>
      <c r="AT29" s="37">
        <v>7.2649999999999988</v>
      </c>
      <c r="AU29" s="38">
        <f t="shared" si="4"/>
        <v>7.2649999999999992E-2</v>
      </c>
      <c r="AV29" s="39">
        <f t="shared" si="5"/>
        <v>7.3492564166666663E-2</v>
      </c>
      <c r="AY29" s="37">
        <v>26</v>
      </c>
      <c r="AZ29" s="37">
        <v>7.0422000000000002</v>
      </c>
      <c r="BA29" s="37">
        <v>7.0918000000000001</v>
      </c>
      <c r="BB29" s="37">
        <v>7.0656759999999998</v>
      </c>
      <c r="BC29" s="37">
        <v>6.9768249999999998</v>
      </c>
      <c r="BD29" s="37">
        <v>6.8285</v>
      </c>
      <c r="BE29" s="37">
        <v>6.7636000000000003</v>
      </c>
      <c r="BF29" s="37">
        <v>6.6936</v>
      </c>
      <c r="BG29" s="37">
        <v>6.7544000000000004</v>
      </c>
      <c r="BH29" s="37">
        <v>6.9724000000000004</v>
      </c>
      <c r="BI29" s="37">
        <v>7.2244000000000002</v>
      </c>
      <c r="BJ29" s="37">
        <v>6.9633000000000003</v>
      </c>
      <c r="BK29" s="37">
        <v>6.8586</v>
      </c>
      <c r="BL29" s="38">
        <f t="shared" si="6"/>
        <v>6.8585999999999994E-2</v>
      </c>
      <c r="BM29" s="39">
        <f t="shared" si="7"/>
        <v>6.9362750833333348E-2</v>
      </c>
      <c r="BO29" s="37">
        <v>26</v>
      </c>
      <c r="BP29" s="37">
        <v>6.8986000000000001</v>
      </c>
      <c r="BQ29" s="37">
        <v>6.8952</v>
      </c>
      <c r="BR29" s="37">
        <v>6.9588999999999999</v>
      </c>
      <c r="BS29" s="37">
        <v>7.1288999999999998</v>
      </c>
      <c r="BT29" s="37">
        <v>6.9828999999999999</v>
      </c>
      <c r="BU29" s="37">
        <v>7.0690999999999997</v>
      </c>
      <c r="BV29" s="37">
        <v>7.0639000000000003</v>
      </c>
      <c r="BW29" s="37">
        <v>6.8345000000000002</v>
      </c>
      <c r="BX29" s="37">
        <v>6.8468999999999998</v>
      </c>
      <c r="BY29" s="37">
        <v>6.9831000000000003</v>
      </c>
      <c r="BZ29" s="37">
        <v>7.0555000000000003</v>
      </c>
      <c r="CA29" s="37">
        <v>7.1116000000000001</v>
      </c>
      <c r="CB29" s="38">
        <f t="shared" si="8"/>
        <v>7.1115999999999999E-2</v>
      </c>
      <c r="CC29" s="39">
        <f t="shared" si="9"/>
        <v>6.9857583333333334E-2</v>
      </c>
      <c r="CE29" s="37">
        <v>26</v>
      </c>
      <c r="CF29" s="37">
        <v>7.4284249999999998</v>
      </c>
      <c r="CG29" s="37">
        <v>7.2714779999999992</v>
      </c>
      <c r="CH29" s="37">
        <v>7.4415140000000006</v>
      </c>
      <c r="CI29" s="37">
        <v>7.2454700000000001</v>
      </c>
      <c r="CJ29" s="37">
        <v>7.2073560000000008</v>
      </c>
      <c r="CK29" s="37">
        <v>7.1192759999999993</v>
      </c>
      <c r="CL29" s="37">
        <v>7.0376629999999993</v>
      </c>
      <c r="CM29" s="37">
        <v>6.9010620000000005</v>
      </c>
      <c r="CN29" s="37">
        <v>6.9414069999999999</v>
      </c>
      <c r="CO29" s="37">
        <v>6.5648479999999996</v>
      </c>
      <c r="CP29" s="37">
        <v>6.6981360000000008</v>
      </c>
      <c r="CQ29" s="37">
        <v>6.6344130000000003</v>
      </c>
      <c r="CR29" s="38">
        <f t="shared" si="10"/>
        <v>6.6344130000000001E-2</v>
      </c>
      <c r="CS29" s="39">
        <f t="shared" si="11"/>
        <v>7.0409206666666668E-2</v>
      </c>
    </row>
    <row r="30" spans="2:97" x14ac:dyDescent="0.3">
      <c r="B30" s="37">
        <v>27</v>
      </c>
      <c r="C30" s="37">
        <v>7.6527000000000003</v>
      </c>
      <c r="D30" s="37">
        <v>7.7275</v>
      </c>
      <c r="E30" s="37">
        <v>8.4563000000000006</v>
      </c>
      <c r="F30" s="37">
        <v>8.2424999999999997</v>
      </c>
      <c r="G30" s="37">
        <v>8.1625999999999994</v>
      </c>
      <c r="H30" s="37">
        <v>7.9111000000000002</v>
      </c>
      <c r="I30" s="37">
        <v>7.6866000000000003</v>
      </c>
      <c r="J30" s="37">
        <v>7.6736000000000004</v>
      </c>
      <c r="K30" s="37">
        <v>7.6605999999999996</v>
      </c>
      <c r="L30" s="37">
        <v>7.5335000000000001</v>
      </c>
      <c r="M30" s="37">
        <v>7.2751999999999999</v>
      </c>
      <c r="N30" s="37">
        <v>7.0625</v>
      </c>
      <c r="O30" s="38">
        <f t="shared" si="0"/>
        <v>7.0624999999999993E-2</v>
      </c>
      <c r="P30" s="39">
        <f t="shared" si="1"/>
        <v>7.7537249999999988E-2</v>
      </c>
      <c r="R30" s="37">
        <v>27</v>
      </c>
      <c r="S30" s="37">
        <v>7.0606999999999998</v>
      </c>
      <c r="T30" s="37">
        <v>7.3273999999999999</v>
      </c>
      <c r="U30" s="37">
        <v>7.6185</v>
      </c>
      <c r="V30" s="37">
        <v>7.4608999999999996</v>
      </c>
      <c r="W30" s="37">
        <v>7.4766000000000004</v>
      </c>
      <c r="X30" s="37">
        <v>7.3884999999999996</v>
      </c>
      <c r="Y30" s="37">
        <v>7.2320000000000002</v>
      </c>
      <c r="Z30" s="37">
        <v>7.1456</v>
      </c>
      <c r="AA30" s="37">
        <v>7.1859999999999999</v>
      </c>
      <c r="AB30" s="37">
        <v>7.2145999999999999</v>
      </c>
      <c r="AC30" s="37">
        <v>7.1123000000000003</v>
      </c>
      <c r="AD30" s="37">
        <v>7.1593</v>
      </c>
      <c r="AE30" s="38">
        <f t="shared" si="2"/>
        <v>7.1593000000000004E-2</v>
      </c>
      <c r="AF30" s="39">
        <f t="shared" si="3"/>
        <v>7.281866666666667E-2</v>
      </c>
      <c r="AH30" s="37">
        <v>27</v>
      </c>
      <c r="AI30" s="37">
        <v>7.1203839999999987</v>
      </c>
      <c r="AJ30" s="37">
        <v>7.0763000000000007</v>
      </c>
      <c r="AK30" s="37">
        <v>7.2784000000000004</v>
      </c>
      <c r="AL30" s="37">
        <v>7.3220729999999996</v>
      </c>
      <c r="AM30" s="37">
        <v>7.6116999999999999</v>
      </c>
      <c r="AN30" s="37">
        <v>7.5913000000000004</v>
      </c>
      <c r="AO30" s="37">
        <v>7.4501999999999997</v>
      </c>
      <c r="AP30" s="37">
        <v>7.1757999999999997</v>
      </c>
      <c r="AQ30" s="37">
        <v>7.4531000000000001</v>
      </c>
      <c r="AR30" s="37">
        <v>7.6203000000000003</v>
      </c>
      <c r="AS30" s="37">
        <v>7.2304000000000004</v>
      </c>
      <c r="AT30" s="37">
        <v>7.2664000000000009</v>
      </c>
      <c r="AU30" s="38">
        <f t="shared" si="4"/>
        <v>7.2664000000000006E-2</v>
      </c>
      <c r="AV30" s="39">
        <f t="shared" si="5"/>
        <v>7.3496964166666678E-2</v>
      </c>
      <c r="AY30" s="37">
        <v>27</v>
      </c>
      <c r="AZ30" s="37">
        <v>7.0438999999999998</v>
      </c>
      <c r="BA30" s="37">
        <v>7.0918999999999999</v>
      </c>
      <c r="BB30" s="37">
        <v>7.0663970000000003</v>
      </c>
      <c r="BC30" s="37">
        <v>6.9773889999999996</v>
      </c>
      <c r="BD30" s="37">
        <v>6.8331999999999997</v>
      </c>
      <c r="BE30" s="37">
        <v>6.7714999999999996</v>
      </c>
      <c r="BF30" s="37">
        <v>6.6993</v>
      </c>
      <c r="BG30" s="37">
        <v>6.7572999999999999</v>
      </c>
      <c r="BH30" s="37">
        <v>6.9724000000000004</v>
      </c>
      <c r="BI30" s="37">
        <v>7.2244999999999999</v>
      </c>
      <c r="BJ30" s="37">
        <v>6.9686000000000003</v>
      </c>
      <c r="BK30" s="37">
        <v>6.8669000000000002</v>
      </c>
      <c r="BL30" s="38">
        <f t="shared" si="6"/>
        <v>6.8669000000000008E-2</v>
      </c>
      <c r="BM30" s="39">
        <f t="shared" si="7"/>
        <v>6.9394404999999992E-2</v>
      </c>
      <c r="BO30" s="37">
        <v>27</v>
      </c>
      <c r="BP30" s="37">
        <v>6.9021999999999997</v>
      </c>
      <c r="BQ30" s="37">
        <v>6.8985000000000003</v>
      </c>
      <c r="BR30" s="37">
        <v>6.9622000000000002</v>
      </c>
      <c r="BS30" s="37">
        <v>7.1288999999999998</v>
      </c>
      <c r="BT30" s="37">
        <v>6.9829999999999997</v>
      </c>
      <c r="BU30" s="37">
        <v>7.0690999999999997</v>
      </c>
      <c r="BV30" s="37">
        <v>7.0641999999999996</v>
      </c>
      <c r="BW30" s="37">
        <v>6.8364000000000003</v>
      </c>
      <c r="BX30" s="37">
        <v>6.8506999999999998</v>
      </c>
      <c r="BY30" s="37">
        <v>6.9832999999999998</v>
      </c>
      <c r="BZ30" s="37">
        <v>7.0559000000000003</v>
      </c>
      <c r="CA30" s="37">
        <v>7.1116999999999999</v>
      </c>
      <c r="CB30" s="38">
        <f t="shared" si="8"/>
        <v>7.1117E-2</v>
      </c>
      <c r="CC30" s="39">
        <f t="shared" si="9"/>
        <v>6.9871749999999982E-2</v>
      </c>
      <c r="CE30" s="37">
        <v>27</v>
      </c>
      <c r="CF30" s="37">
        <v>7.4284249999999998</v>
      </c>
      <c r="CG30" s="37">
        <v>7.2714779999999992</v>
      </c>
      <c r="CH30" s="37">
        <v>7.4415140000000006</v>
      </c>
      <c r="CI30" s="37">
        <v>7.2454700000000001</v>
      </c>
      <c r="CJ30" s="37">
        <v>7.2073560000000008</v>
      </c>
      <c r="CK30" s="37">
        <v>7.1192759999999993</v>
      </c>
      <c r="CL30" s="37">
        <v>7.0376629999999993</v>
      </c>
      <c r="CM30" s="37">
        <v>6.9010620000000005</v>
      </c>
      <c r="CN30" s="37">
        <v>6.9414069999999999</v>
      </c>
      <c r="CO30" s="37">
        <v>6.5648479999999996</v>
      </c>
      <c r="CP30" s="37">
        <v>6.6981360000000008</v>
      </c>
      <c r="CQ30" s="37">
        <v>6.6344130000000003</v>
      </c>
      <c r="CR30" s="38">
        <f t="shared" si="10"/>
        <v>6.6344130000000001E-2</v>
      </c>
      <c r="CS30" s="39">
        <f t="shared" si="11"/>
        <v>7.0409206666666668E-2</v>
      </c>
    </row>
    <row r="31" spans="2:97" x14ac:dyDescent="0.3">
      <c r="B31" s="37">
        <v>28</v>
      </c>
      <c r="C31" s="37">
        <v>7.6576000000000004</v>
      </c>
      <c r="D31" s="37">
        <v>7.7287999999999997</v>
      </c>
      <c r="E31" s="37">
        <v>8.4565000000000001</v>
      </c>
      <c r="F31" s="37">
        <v>8.2434999999999992</v>
      </c>
      <c r="G31" s="37">
        <v>8.1640999999999995</v>
      </c>
      <c r="H31" s="37">
        <v>7.9126000000000003</v>
      </c>
      <c r="I31" s="37">
        <v>7.6901999999999999</v>
      </c>
      <c r="J31" s="37">
        <v>7.6761999999999997</v>
      </c>
      <c r="K31" s="37">
        <v>7.6622000000000003</v>
      </c>
      <c r="L31" s="37">
        <v>7.5358000000000001</v>
      </c>
      <c r="M31" s="37">
        <v>7.2784000000000004</v>
      </c>
      <c r="N31" s="37">
        <v>7.0773999999999999</v>
      </c>
      <c r="O31" s="38">
        <f t="shared" si="0"/>
        <v>7.0774000000000004E-2</v>
      </c>
      <c r="P31" s="39">
        <f t="shared" si="1"/>
        <v>7.7569416666666668E-2</v>
      </c>
      <c r="R31" s="37">
        <v>28</v>
      </c>
      <c r="S31" s="37">
        <v>7.0625999999999998</v>
      </c>
      <c r="T31" s="37">
        <v>7.3300999999999998</v>
      </c>
      <c r="U31" s="37">
        <v>7.6243999999999996</v>
      </c>
      <c r="V31" s="37">
        <v>7.4687999999999999</v>
      </c>
      <c r="W31" s="37">
        <v>7.4892000000000003</v>
      </c>
      <c r="X31" s="37">
        <v>7.3914999999999997</v>
      </c>
      <c r="Y31" s="37">
        <v>7.2346000000000004</v>
      </c>
      <c r="Z31" s="37">
        <v>7.1501999999999999</v>
      </c>
      <c r="AA31" s="37">
        <v>7.1878000000000002</v>
      </c>
      <c r="AB31" s="37">
        <v>7.2183000000000002</v>
      </c>
      <c r="AC31" s="37">
        <v>7.1153000000000004</v>
      </c>
      <c r="AD31" s="37">
        <v>7.1612</v>
      </c>
      <c r="AE31" s="38">
        <f t="shared" si="2"/>
        <v>7.1611999999999995E-2</v>
      </c>
      <c r="AF31" s="39">
        <f t="shared" si="3"/>
        <v>7.2861666666666658E-2</v>
      </c>
      <c r="AH31" s="37">
        <v>28</v>
      </c>
      <c r="AI31" s="37">
        <v>7.1212499999999999</v>
      </c>
      <c r="AJ31" s="37">
        <v>7.077</v>
      </c>
      <c r="AK31" s="37">
        <v>7.2786</v>
      </c>
      <c r="AL31" s="37">
        <v>7.3221449999999999</v>
      </c>
      <c r="AM31" s="37">
        <v>7.6123000000000003</v>
      </c>
      <c r="AN31" s="37">
        <v>7.5914999999999999</v>
      </c>
      <c r="AO31" s="37">
        <v>7.4501999999999997</v>
      </c>
      <c r="AP31" s="37">
        <v>7.1757999999999997</v>
      </c>
      <c r="AQ31" s="37">
        <v>7.4531000000000001</v>
      </c>
      <c r="AR31" s="37">
        <v>7.6203000000000003</v>
      </c>
      <c r="AS31" s="37">
        <v>7.2304000000000004</v>
      </c>
      <c r="AT31" s="37">
        <v>7.2676000000000007</v>
      </c>
      <c r="AU31" s="38">
        <f t="shared" si="4"/>
        <v>7.2676000000000004E-2</v>
      </c>
      <c r="AV31" s="39">
        <f t="shared" si="5"/>
        <v>7.3500162500000008E-2</v>
      </c>
      <c r="AY31" s="37">
        <v>28</v>
      </c>
      <c r="AZ31" s="37">
        <v>7.0450999999999997</v>
      </c>
      <c r="BA31" s="37">
        <v>7.0918999999999999</v>
      </c>
      <c r="BB31" s="37">
        <v>7.0669149999999998</v>
      </c>
      <c r="BC31" s="37">
        <v>6.9777880000000003</v>
      </c>
      <c r="BD31" s="37">
        <v>6.8371000000000004</v>
      </c>
      <c r="BE31" s="37">
        <v>6.7782999999999998</v>
      </c>
      <c r="BF31" s="37">
        <v>6.7042000000000002</v>
      </c>
      <c r="BG31" s="37">
        <v>6.7595999999999998</v>
      </c>
      <c r="BH31" s="37">
        <v>6.9725000000000001</v>
      </c>
      <c r="BI31" s="37">
        <v>7.2244999999999999</v>
      </c>
      <c r="BJ31" s="37">
        <v>6.9732000000000003</v>
      </c>
      <c r="BK31" s="37">
        <v>6.8745000000000003</v>
      </c>
      <c r="BL31" s="38">
        <f t="shared" si="6"/>
        <v>6.8745000000000001E-2</v>
      </c>
      <c r="BM31" s="39">
        <f t="shared" si="7"/>
        <v>6.9421335833333347E-2</v>
      </c>
      <c r="BO31" s="37">
        <v>28</v>
      </c>
      <c r="BP31" s="37">
        <v>6.9051999999999998</v>
      </c>
      <c r="BQ31" s="37">
        <v>6.9013</v>
      </c>
      <c r="BR31" s="37">
        <v>6.9649999999999999</v>
      </c>
      <c r="BS31" s="37">
        <v>7.1288999999999998</v>
      </c>
      <c r="BT31" s="37">
        <v>6.9829999999999997</v>
      </c>
      <c r="BU31" s="37">
        <v>7.0690999999999997</v>
      </c>
      <c r="BV31" s="37">
        <v>7.0644</v>
      </c>
      <c r="BW31" s="37">
        <v>6.8380000000000001</v>
      </c>
      <c r="BX31" s="37">
        <v>6.8539000000000003</v>
      </c>
      <c r="BY31" s="37">
        <v>6.9833999999999996</v>
      </c>
      <c r="BZ31" s="37">
        <v>7.0560999999999998</v>
      </c>
      <c r="CA31" s="37">
        <v>7.1117999999999997</v>
      </c>
      <c r="CB31" s="38">
        <f t="shared" si="8"/>
        <v>7.1118000000000001E-2</v>
      </c>
      <c r="CC31" s="39">
        <f t="shared" si="9"/>
        <v>6.988341666666667E-2</v>
      </c>
      <c r="CE31" s="37">
        <v>28</v>
      </c>
      <c r="CF31" s="37">
        <v>7.4284249999999998</v>
      </c>
      <c r="CG31" s="37">
        <v>7.2714779999999992</v>
      </c>
      <c r="CH31" s="37">
        <v>7.4415140000000006</v>
      </c>
      <c r="CI31" s="37">
        <v>7.2454700000000001</v>
      </c>
      <c r="CJ31" s="37">
        <v>7.2073560000000008</v>
      </c>
      <c r="CK31" s="37">
        <v>7.1192759999999993</v>
      </c>
      <c r="CL31" s="37">
        <v>7.0376629999999993</v>
      </c>
      <c r="CM31" s="37">
        <v>6.9010620000000005</v>
      </c>
      <c r="CN31" s="37">
        <v>6.9414069999999999</v>
      </c>
      <c r="CO31" s="37">
        <v>6.5648479999999996</v>
      </c>
      <c r="CP31" s="37">
        <v>6.6981360000000008</v>
      </c>
      <c r="CQ31" s="37">
        <v>6.6344130000000003</v>
      </c>
      <c r="CR31" s="38">
        <f t="shared" si="10"/>
        <v>6.6344130000000001E-2</v>
      </c>
      <c r="CS31" s="39">
        <f t="shared" si="11"/>
        <v>7.0409206666666668E-2</v>
      </c>
    </row>
    <row r="32" spans="2:97" x14ac:dyDescent="0.3">
      <c r="B32" s="37">
        <v>29</v>
      </c>
      <c r="C32" s="37">
        <v>7.6614000000000004</v>
      </c>
      <c r="D32" s="37">
        <v>7.7297000000000002</v>
      </c>
      <c r="E32" s="37">
        <v>8.4565999999999999</v>
      </c>
      <c r="F32" s="37">
        <v>8.2443000000000008</v>
      </c>
      <c r="G32" s="37">
        <v>8.1652000000000005</v>
      </c>
      <c r="H32" s="37">
        <v>7.9137000000000004</v>
      </c>
      <c r="I32" s="37">
        <v>7.6931000000000003</v>
      </c>
      <c r="J32" s="37">
        <v>7.6782500000000002</v>
      </c>
      <c r="K32" s="37">
        <v>7.6634000000000002</v>
      </c>
      <c r="L32" s="37">
        <v>7.5376000000000003</v>
      </c>
      <c r="M32" s="37">
        <v>7.2808999999999999</v>
      </c>
      <c r="N32" s="37">
        <v>7.0904999999999996</v>
      </c>
      <c r="O32" s="38">
        <f t="shared" si="0"/>
        <v>7.0904999999999996E-2</v>
      </c>
      <c r="P32" s="39">
        <f t="shared" si="1"/>
        <v>7.759554166666667E-2</v>
      </c>
      <c r="R32" s="37">
        <v>29</v>
      </c>
      <c r="S32" s="37">
        <v>7.0640000000000001</v>
      </c>
      <c r="T32" s="37">
        <v>7.3320999999999996</v>
      </c>
      <c r="U32" s="37">
        <v>7.6292</v>
      </c>
      <c r="V32" s="37">
        <v>7.4753999999999996</v>
      </c>
      <c r="W32" s="37">
        <v>7.5</v>
      </c>
      <c r="X32" s="37">
        <v>7.3937999999999997</v>
      </c>
      <c r="Y32" s="37">
        <v>7.2365000000000004</v>
      </c>
      <c r="Z32" s="37">
        <v>7.1536999999999997</v>
      </c>
      <c r="AA32" s="37">
        <v>7.1891999999999996</v>
      </c>
      <c r="AB32" s="37">
        <v>7.2211999999999996</v>
      </c>
      <c r="AC32" s="37">
        <v>7.1177000000000001</v>
      </c>
      <c r="AD32" s="37">
        <v>7.1627000000000001</v>
      </c>
      <c r="AE32" s="38">
        <f t="shared" si="2"/>
        <v>7.1626999999999996E-2</v>
      </c>
      <c r="AF32" s="39">
        <f t="shared" si="3"/>
        <v>7.2896249999999996E-2</v>
      </c>
      <c r="AH32" s="37">
        <v>29</v>
      </c>
      <c r="AI32" s="37">
        <v>7.1218920000000008</v>
      </c>
      <c r="AJ32" s="37">
        <v>7.0776000000000003</v>
      </c>
      <c r="AK32" s="37">
        <v>7.2788000000000004</v>
      </c>
      <c r="AL32" s="37">
        <v>7.3221910000000001</v>
      </c>
      <c r="AM32" s="37">
        <v>7.6128</v>
      </c>
      <c r="AN32" s="37">
        <v>7.5917000000000003</v>
      </c>
      <c r="AO32" s="37">
        <v>7.4503000000000004</v>
      </c>
      <c r="AP32" s="37">
        <v>7.1757999999999997</v>
      </c>
      <c r="AQ32" s="37">
        <v>7.4531000000000001</v>
      </c>
      <c r="AR32" s="37">
        <v>7.6203000000000003</v>
      </c>
      <c r="AS32" s="37">
        <v>7.2304000000000004</v>
      </c>
      <c r="AT32" s="37">
        <v>7.2684999999999995</v>
      </c>
      <c r="AU32" s="38">
        <f t="shared" si="4"/>
        <v>7.2685E-2</v>
      </c>
      <c r="AV32" s="39">
        <f t="shared" si="5"/>
        <v>7.3502819166666677E-2</v>
      </c>
      <c r="AY32" s="37">
        <v>29</v>
      </c>
      <c r="AZ32" s="37">
        <v>7.0460000000000003</v>
      </c>
      <c r="BA32" s="37">
        <v>7.0919999999999996</v>
      </c>
      <c r="BB32" s="37">
        <v>7.0672870000000003</v>
      </c>
      <c r="BC32" s="37">
        <v>6.9780709999999999</v>
      </c>
      <c r="BD32" s="37">
        <v>6.8403999999999998</v>
      </c>
      <c r="BE32" s="37">
        <v>6.7842000000000002</v>
      </c>
      <c r="BF32" s="37">
        <v>6.7084000000000001</v>
      </c>
      <c r="BG32" s="37">
        <v>6.7615999999999996</v>
      </c>
      <c r="BH32" s="37">
        <v>6.9725000000000001</v>
      </c>
      <c r="BI32" s="37">
        <v>7.2244999999999999</v>
      </c>
      <c r="BJ32" s="37">
        <v>6.9771999999999998</v>
      </c>
      <c r="BK32" s="37">
        <v>6.8814000000000002</v>
      </c>
      <c r="BL32" s="38">
        <f t="shared" si="6"/>
        <v>6.8814E-2</v>
      </c>
      <c r="BM32" s="39">
        <f t="shared" si="7"/>
        <v>6.9444631666666659E-2</v>
      </c>
      <c r="BO32" s="37">
        <v>29</v>
      </c>
      <c r="BP32" s="37">
        <v>6.9077000000000002</v>
      </c>
      <c r="BQ32" s="37">
        <v>6.9036</v>
      </c>
      <c r="BR32" s="37">
        <v>6.9672000000000001</v>
      </c>
      <c r="BS32" s="37">
        <v>7.1288999999999998</v>
      </c>
      <c r="BT32" s="37">
        <v>6.9831000000000003</v>
      </c>
      <c r="BU32" s="37">
        <v>7.0690999999999997</v>
      </c>
      <c r="BV32" s="37">
        <v>7.0644999999999998</v>
      </c>
      <c r="BW32" s="37">
        <v>6.8392999999999997</v>
      </c>
      <c r="BX32" s="37">
        <v>6.8564999999999996</v>
      </c>
      <c r="BY32" s="37">
        <v>6.9833999999999996</v>
      </c>
      <c r="BZ32" s="37">
        <v>7.0563000000000002</v>
      </c>
      <c r="CA32" s="37">
        <v>7.1117999999999997</v>
      </c>
      <c r="CB32" s="38">
        <f t="shared" si="8"/>
        <v>7.1118000000000001E-2</v>
      </c>
      <c r="CC32" s="39">
        <f t="shared" si="9"/>
        <v>6.9892833333333335E-2</v>
      </c>
      <c r="CE32" s="37">
        <v>29</v>
      </c>
      <c r="CF32" s="37">
        <v>7.4284249999999998</v>
      </c>
      <c r="CG32" s="37">
        <v>7.2714779999999992</v>
      </c>
      <c r="CH32" s="37">
        <v>7.4415140000000006</v>
      </c>
      <c r="CI32" s="37">
        <v>7.2454700000000001</v>
      </c>
      <c r="CJ32" s="37">
        <v>7.2073560000000008</v>
      </c>
      <c r="CK32" s="37">
        <v>7.1192759999999993</v>
      </c>
      <c r="CL32" s="37">
        <v>7.0376629999999993</v>
      </c>
      <c r="CM32" s="37">
        <v>6.9010620000000005</v>
      </c>
      <c r="CN32" s="37">
        <v>6.9414069999999999</v>
      </c>
      <c r="CO32" s="37">
        <v>6.5648479999999996</v>
      </c>
      <c r="CP32" s="37">
        <v>6.6981360000000008</v>
      </c>
      <c r="CQ32" s="37">
        <v>6.6344130000000003</v>
      </c>
      <c r="CR32" s="38">
        <f t="shared" si="10"/>
        <v>6.6344130000000001E-2</v>
      </c>
      <c r="CS32" s="39">
        <f t="shared" si="11"/>
        <v>7.0409206666666668E-2</v>
      </c>
    </row>
    <row r="33" spans="2:97" x14ac:dyDescent="0.3">
      <c r="B33" s="40">
        <v>30</v>
      </c>
      <c r="C33" s="40">
        <v>7.6643999999999997</v>
      </c>
      <c r="D33" s="40">
        <v>7.7305000000000001</v>
      </c>
      <c r="E33" s="40">
        <v>8.4566999999999997</v>
      </c>
      <c r="F33" s="40">
        <v>8.2448999999999995</v>
      </c>
      <c r="G33" s="40">
        <v>8.1660000000000004</v>
      </c>
      <c r="H33" s="40">
        <v>7.9145000000000003</v>
      </c>
      <c r="I33" s="40">
        <v>7.6952999999999996</v>
      </c>
      <c r="J33" s="40">
        <v>7.6798000000000002</v>
      </c>
      <c r="K33" s="40">
        <v>7.6642999999999999</v>
      </c>
      <c r="L33" s="40">
        <v>7.5389999999999997</v>
      </c>
      <c r="M33" s="40">
        <v>7.2827000000000002</v>
      </c>
      <c r="N33" s="40">
        <v>7.1017999999999999</v>
      </c>
      <c r="O33" s="38">
        <f t="shared" si="0"/>
        <v>7.1017999999999998E-2</v>
      </c>
      <c r="P33" s="39">
        <f t="shared" si="1"/>
        <v>7.7616583333333336E-2</v>
      </c>
      <c r="R33" s="40">
        <v>30</v>
      </c>
      <c r="S33" s="40">
        <v>7.0650000000000004</v>
      </c>
      <c r="T33" s="40">
        <v>7.3337000000000003</v>
      </c>
      <c r="U33" s="40">
        <v>7.6330999999999998</v>
      </c>
      <c r="V33" s="40">
        <v>7.4808000000000003</v>
      </c>
      <c r="W33" s="40">
        <v>7.5092999999999996</v>
      </c>
      <c r="X33" s="40">
        <v>7.3956</v>
      </c>
      <c r="Y33" s="40">
        <v>7.2380000000000004</v>
      </c>
      <c r="Z33" s="40">
        <v>7.1563999999999997</v>
      </c>
      <c r="AA33" s="40">
        <v>7.1901999999999999</v>
      </c>
      <c r="AB33" s="40">
        <v>7.2233999999999998</v>
      </c>
      <c r="AC33" s="40">
        <v>7.1196000000000002</v>
      </c>
      <c r="AD33" s="40">
        <v>7.1638000000000002</v>
      </c>
      <c r="AE33" s="38">
        <f t="shared" si="2"/>
        <v>7.1638000000000007E-2</v>
      </c>
      <c r="AF33" s="39">
        <f t="shared" si="3"/>
        <v>7.2924083333333334E-2</v>
      </c>
      <c r="AH33" s="40">
        <v>30</v>
      </c>
      <c r="AI33" s="40">
        <v>7.1223660000000004</v>
      </c>
      <c r="AJ33" s="40">
        <v>7.0779999999999994</v>
      </c>
      <c r="AK33" s="40">
        <v>7.278900000000001</v>
      </c>
      <c r="AL33" s="40">
        <v>7.3222209999999999</v>
      </c>
      <c r="AM33" s="40">
        <v>7.6131000000000002</v>
      </c>
      <c r="AN33" s="40">
        <v>7.5918000000000001</v>
      </c>
      <c r="AO33" s="40">
        <v>7.4503000000000004</v>
      </c>
      <c r="AP33" s="40">
        <v>7.1757999999999997</v>
      </c>
      <c r="AQ33" s="40">
        <v>7.4531000000000001</v>
      </c>
      <c r="AR33" s="40">
        <v>7.6203000000000003</v>
      </c>
      <c r="AS33" s="40">
        <v>7.2305000000000001</v>
      </c>
      <c r="AT33" s="40">
        <v>7.2691999999999997</v>
      </c>
      <c r="AU33" s="38">
        <f t="shared" si="4"/>
        <v>7.2691999999999993E-2</v>
      </c>
      <c r="AV33" s="39">
        <f t="shared" si="5"/>
        <v>7.3504655833333349E-2</v>
      </c>
      <c r="AY33" s="40">
        <v>30</v>
      </c>
      <c r="AZ33" s="40">
        <v>7.0467000000000004</v>
      </c>
      <c r="BA33" s="40">
        <v>7.0919999999999996</v>
      </c>
      <c r="BB33" s="40">
        <v>7.0675530000000002</v>
      </c>
      <c r="BC33" s="40">
        <v>6.9782690000000001</v>
      </c>
      <c r="BD33" s="40">
        <v>6.8432000000000004</v>
      </c>
      <c r="BE33" s="40">
        <v>6.7892999999999999</v>
      </c>
      <c r="BF33" s="40">
        <v>6.7119999999999997</v>
      </c>
      <c r="BG33" s="40">
        <v>6.7630999999999997</v>
      </c>
      <c r="BH33" s="40">
        <v>6.9725000000000001</v>
      </c>
      <c r="BI33" s="40">
        <v>7.2244999999999999</v>
      </c>
      <c r="BJ33" s="40">
        <v>6.9806999999999997</v>
      </c>
      <c r="BK33" s="40">
        <v>6.8876999999999997</v>
      </c>
      <c r="BL33" s="38">
        <f t="shared" si="6"/>
        <v>6.8876999999999994E-2</v>
      </c>
      <c r="BM33" s="39">
        <f t="shared" si="7"/>
        <v>6.9464601666666667E-2</v>
      </c>
      <c r="BO33" s="40">
        <v>30</v>
      </c>
      <c r="BP33" s="40">
        <v>6.9097</v>
      </c>
      <c r="BQ33" s="40">
        <v>6.9055</v>
      </c>
      <c r="BR33" s="40">
        <v>6.9691000000000001</v>
      </c>
      <c r="BS33" s="40">
        <v>7.1288999999999998</v>
      </c>
      <c r="BT33" s="40">
        <v>6.9831000000000003</v>
      </c>
      <c r="BU33" s="40">
        <v>7.0690999999999997</v>
      </c>
      <c r="BV33" s="40">
        <v>7.0647000000000002</v>
      </c>
      <c r="BW33" s="40">
        <v>6.8403999999999998</v>
      </c>
      <c r="BX33" s="40">
        <v>6.8586</v>
      </c>
      <c r="BY33" s="40">
        <v>6.9835000000000003</v>
      </c>
      <c r="BZ33" s="40">
        <v>7.0564</v>
      </c>
      <c r="CA33" s="40">
        <v>7.1117999999999997</v>
      </c>
      <c r="CB33" s="38">
        <f t="shared" si="8"/>
        <v>7.1118000000000001E-2</v>
      </c>
      <c r="CC33" s="39">
        <f t="shared" si="9"/>
        <v>6.9900666666666667E-2</v>
      </c>
      <c r="CE33" s="40">
        <v>30</v>
      </c>
      <c r="CF33" s="40">
        <v>7.4284249999999998</v>
      </c>
      <c r="CG33" s="40">
        <v>7.2714779999999992</v>
      </c>
      <c r="CH33" s="40">
        <v>7.4415140000000006</v>
      </c>
      <c r="CI33" s="40">
        <v>7.2454700000000001</v>
      </c>
      <c r="CJ33" s="40">
        <v>7.2073560000000008</v>
      </c>
      <c r="CK33" s="40">
        <v>7.1192759999999993</v>
      </c>
      <c r="CL33" s="40">
        <v>7.0376629999999993</v>
      </c>
      <c r="CM33" s="40">
        <v>6.9010620000000005</v>
      </c>
      <c r="CN33" s="40">
        <v>6.9414069999999999</v>
      </c>
      <c r="CO33" s="40">
        <v>6.5648479999999996</v>
      </c>
      <c r="CP33" s="40">
        <v>6.6981360000000008</v>
      </c>
      <c r="CQ33" s="40">
        <v>6.6344130000000003</v>
      </c>
      <c r="CR33" s="38">
        <f t="shared" si="10"/>
        <v>6.6344130000000001E-2</v>
      </c>
      <c r="CS33" s="39">
        <f t="shared" si="11"/>
        <v>7.0409206666666668E-2</v>
      </c>
    </row>
  </sheetData>
  <pageMargins left="0.7" right="0.7" top="0.75" bottom="0.75" header="0.3" footer="0.3"/>
  <ignoredErrors>
    <ignoredError sqref="P3:P33 AF3:AF33 AV3:AV3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6D515-1EF0-41AA-8B1A-C57E34359022}">
  <dimension ref="A2:G98"/>
  <sheetViews>
    <sheetView workbookViewId="0">
      <selection activeCell="F13" sqref="F13"/>
    </sheetView>
  </sheetViews>
  <sheetFormatPr defaultRowHeight="14.4" x14ac:dyDescent="0.3"/>
  <cols>
    <col min="1" max="1" width="16.44140625" customWidth="1"/>
    <col min="2" max="2" width="10.109375" customWidth="1"/>
    <col min="3" max="3" width="10.77734375" customWidth="1"/>
    <col min="6" max="6" width="17.77734375" customWidth="1"/>
    <col min="7" max="7" width="21.77734375" bestFit="1" customWidth="1"/>
  </cols>
  <sheetData>
    <row r="2" spans="1:7" x14ac:dyDescent="0.3">
      <c r="A2" s="23" t="s">
        <v>156</v>
      </c>
      <c r="B2" s="23" t="s">
        <v>157</v>
      </c>
      <c r="C2" s="23" t="s">
        <v>158</v>
      </c>
      <c r="F2" s="23" t="s">
        <v>162</v>
      </c>
      <c r="G2" s="23" t="s">
        <v>163</v>
      </c>
    </row>
    <row r="3" spans="1:7" x14ac:dyDescent="0.3">
      <c r="A3" s="19" t="s">
        <v>143</v>
      </c>
      <c r="B3" s="19">
        <v>2025</v>
      </c>
      <c r="C3" s="20">
        <v>2.92E-2</v>
      </c>
      <c r="F3" s="25" t="s">
        <v>183</v>
      </c>
      <c r="G3" s="24">
        <f>AVERAGE(C63:C98)</f>
        <v>2.7541666666666669E-2</v>
      </c>
    </row>
    <row r="4" spans="1:7" x14ac:dyDescent="0.3">
      <c r="A4" s="19" t="s">
        <v>144</v>
      </c>
      <c r="B4" s="19">
        <v>2025</v>
      </c>
      <c r="C4" s="20">
        <v>2.7199999999999998E-2</v>
      </c>
      <c r="F4" s="25" t="s">
        <v>184</v>
      </c>
      <c r="G4" s="24">
        <f>AVERAGE(C51:C86)</f>
        <v>2.2081666666666673E-2</v>
      </c>
    </row>
    <row r="5" spans="1:7" x14ac:dyDescent="0.3">
      <c r="A5" s="19" t="s">
        <v>145</v>
      </c>
      <c r="B5" s="19">
        <v>2025</v>
      </c>
      <c r="C5" s="20">
        <v>2.86E-2</v>
      </c>
      <c r="F5" s="25" t="s">
        <v>185</v>
      </c>
      <c r="G5" s="24">
        <f>AVERAGE(C39:C74)</f>
        <v>2.6003888888888889E-2</v>
      </c>
    </row>
    <row r="6" spans="1:7" x14ac:dyDescent="0.3">
      <c r="A6" s="19" t="s">
        <v>146</v>
      </c>
      <c r="B6" s="19">
        <v>2025</v>
      </c>
      <c r="C6" s="20">
        <v>2.6499999999999999E-2</v>
      </c>
      <c r="F6" s="25" t="s">
        <v>159</v>
      </c>
      <c r="G6" s="24">
        <f>AVERAGE(C27:C62)</f>
        <v>3.1503888888888894E-2</v>
      </c>
    </row>
    <row r="7" spans="1:7" x14ac:dyDescent="0.3">
      <c r="A7" s="19" t="s">
        <v>147</v>
      </c>
      <c r="B7" s="19">
        <v>2025</v>
      </c>
      <c r="C7" s="20">
        <v>2.3099999999999999E-2</v>
      </c>
      <c r="F7" s="25" t="s">
        <v>160</v>
      </c>
      <c r="G7" s="24">
        <f>AVERAGE(C15:C50)</f>
        <v>3.3983333333333338E-2</v>
      </c>
    </row>
    <row r="8" spans="1:7" x14ac:dyDescent="0.3">
      <c r="A8" s="19" t="s">
        <v>148</v>
      </c>
      <c r="B8" s="19">
        <v>2025</v>
      </c>
      <c r="C8" s="20">
        <v>2.3699999999999999E-2</v>
      </c>
      <c r="F8" s="25" t="s">
        <v>161</v>
      </c>
      <c r="G8" s="24">
        <f>AVERAGE(C3:C38)</f>
        <v>2.6338888888888887E-2</v>
      </c>
    </row>
    <row r="9" spans="1:7" x14ac:dyDescent="0.3">
      <c r="A9" s="19" t="s">
        <v>149</v>
      </c>
      <c r="B9" s="19">
        <v>2025</v>
      </c>
      <c r="C9" s="20">
        <v>1.8700000000000001E-2</v>
      </c>
    </row>
    <row r="10" spans="1:7" x14ac:dyDescent="0.3">
      <c r="A10" s="19" t="s">
        <v>150</v>
      </c>
      <c r="B10" s="19">
        <v>2025</v>
      </c>
      <c r="C10" s="20">
        <v>1.6E-2</v>
      </c>
    </row>
    <row r="11" spans="1:7" x14ac:dyDescent="0.3">
      <c r="A11" s="19" t="s">
        <v>151</v>
      </c>
      <c r="B11" s="19">
        <v>2025</v>
      </c>
      <c r="C11" s="20">
        <v>1.95E-2</v>
      </c>
    </row>
    <row r="12" spans="1:7" x14ac:dyDescent="0.3">
      <c r="A12" s="19" t="s">
        <v>152</v>
      </c>
      <c r="B12" s="19">
        <v>2025</v>
      </c>
      <c r="C12" s="20">
        <v>1.03E-2</v>
      </c>
    </row>
    <row r="13" spans="1:7" x14ac:dyDescent="0.3">
      <c r="A13" s="19" t="s">
        <v>153</v>
      </c>
      <c r="B13" s="19">
        <v>2025</v>
      </c>
      <c r="C13" s="20">
        <v>-8.9999999999999998E-4</v>
      </c>
    </row>
    <row r="14" spans="1:7" x14ac:dyDescent="0.3">
      <c r="A14" s="19" t="s">
        <v>154</v>
      </c>
      <c r="B14" s="19">
        <v>2025</v>
      </c>
      <c r="C14" s="20">
        <v>7.6E-3</v>
      </c>
    </row>
    <row r="15" spans="1:7" x14ac:dyDescent="0.3">
      <c r="A15" s="19" t="s">
        <v>143</v>
      </c>
      <c r="B15" s="19">
        <v>2024</v>
      </c>
      <c r="C15" s="20">
        <v>1.5699999999999999E-2</v>
      </c>
    </row>
    <row r="16" spans="1:7" x14ac:dyDescent="0.3">
      <c r="A16" s="19" t="s">
        <v>144</v>
      </c>
      <c r="B16" s="19">
        <v>2024</v>
      </c>
      <c r="C16" s="20">
        <v>1.55E-2</v>
      </c>
    </row>
    <row r="17" spans="1:3" x14ac:dyDescent="0.3">
      <c r="A17" s="19" t="s">
        <v>145</v>
      </c>
      <c r="B17" s="19">
        <v>2024</v>
      </c>
      <c r="C17" s="20">
        <v>1.7100000000000001E-2</v>
      </c>
    </row>
    <row r="18" spans="1:3" x14ac:dyDescent="0.3">
      <c r="A18" s="19" t="s">
        <v>146</v>
      </c>
      <c r="B18" s="19">
        <v>2024</v>
      </c>
      <c r="C18" s="20">
        <v>1.84E-2</v>
      </c>
    </row>
    <row r="19" spans="1:3" x14ac:dyDescent="0.3">
      <c r="A19" s="19" t="s">
        <v>147</v>
      </c>
      <c r="B19" s="19">
        <v>2024</v>
      </c>
      <c r="C19" s="20">
        <v>2.12E-2</v>
      </c>
    </row>
    <row r="20" spans="1:3" x14ac:dyDescent="0.3">
      <c r="A20" s="19" t="s">
        <v>148</v>
      </c>
      <c r="B20" s="19">
        <v>2024</v>
      </c>
      <c r="C20" s="20">
        <v>2.1299999999999999E-2</v>
      </c>
    </row>
    <row r="21" spans="1:3" x14ac:dyDescent="0.3">
      <c r="A21" s="19" t="s">
        <v>149</v>
      </c>
      <c r="B21" s="19">
        <v>2024</v>
      </c>
      <c r="C21" s="20">
        <v>2.5100000000000001E-2</v>
      </c>
    </row>
    <row r="22" spans="1:3" x14ac:dyDescent="0.3">
      <c r="A22" s="19" t="s">
        <v>150</v>
      </c>
      <c r="B22" s="19">
        <v>2024</v>
      </c>
      <c r="C22" s="20">
        <v>2.8400000000000002E-2</v>
      </c>
    </row>
    <row r="23" spans="1:3" x14ac:dyDescent="0.3">
      <c r="A23" s="19" t="s">
        <v>151</v>
      </c>
      <c r="B23" s="19">
        <v>2024</v>
      </c>
      <c r="C23" s="20">
        <v>0.03</v>
      </c>
    </row>
    <row r="24" spans="1:3" x14ac:dyDescent="0.3">
      <c r="A24" s="19" t="s">
        <v>152</v>
      </c>
      <c r="B24" s="19">
        <v>2024</v>
      </c>
      <c r="C24" s="20">
        <v>3.0499999999999999E-2</v>
      </c>
    </row>
    <row r="25" spans="1:3" x14ac:dyDescent="0.3">
      <c r="A25" s="21" t="s">
        <v>153</v>
      </c>
      <c r="B25" s="19">
        <v>2024</v>
      </c>
      <c r="C25" s="20">
        <v>2.75E-2</v>
      </c>
    </row>
    <row r="26" spans="1:3" x14ac:dyDescent="0.3">
      <c r="A26" s="19" t="s">
        <v>154</v>
      </c>
      <c r="B26" s="19">
        <v>2024</v>
      </c>
      <c r="C26" s="20">
        <v>2.5700000000000001E-2</v>
      </c>
    </row>
    <row r="27" spans="1:3" x14ac:dyDescent="0.3">
      <c r="A27" s="19" t="s">
        <v>143</v>
      </c>
      <c r="B27" s="19">
        <v>2023</v>
      </c>
      <c r="C27" s="20">
        <v>2.6100000000000002E-2</v>
      </c>
    </row>
    <row r="28" spans="1:3" x14ac:dyDescent="0.3">
      <c r="A28" s="19" t="s">
        <v>144</v>
      </c>
      <c r="B28" s="19">
        <v>2023</v>
      </c>
      <c r="C28" s="20">
        <v>2.86E-2</v>
      </c>
    </row>
    <row r="29" spans="1:3" x14ac:dyDescent="0.3">
      <c r="A29" s="19" t="s">
        <v>145</v>
      </c>
      <c r="B29" s="19">
        <v>2023</v>
      </c>
      <c r="C29" s="20">
        <v>2.5600000000000001E-2</v>
      </c>
    </row>
    <row r="30" spans="1:3" x14ac:dyDescent="0.3">
      <c r="A30" s="19" t="s">
        <v>146</v>
      </c>
      <c r="B30" s="19">
        <v>2023</v>
      </c>
      <c r="C30" s="20">
        <v>2.2800000000000001E-2</v>
      </c>
    </row>
    <row r="31" spans="1:3" x14ac:dyDescent="0.3">
      <c r="A31" s="19" t="s">
        <v>147</v>
      </c>
      <c r="B31" s="19">
        <v>2023</v>
      </c>
      <c r="C31" s="20">
        <v>3.27E-2</v>
      </c>
    </row>
    <row r="32" spans="1:3" x14ac:dyDescent="0.3">
      <c r="A32" s="19" t="s">
        <v>148</v>
      </c>
      <c r="B32" s="19">
        <v>2023</v>
      </c>
      <c r="C32" s="20">
        <v>3.0800000000000001E-2</v>
      </c>
    </row>
    <row r="33" spans="1:3" x14ac:dyDescent="0.3">
      <c r="A33" s="19" t="s">
        <v>149</v>
      </c>
      <c r="B33" s="19">
        <v>2023</v>
      </c>
      <c r="C33" s="20">
        <v>3.5200000000000002E-2</v>
      </c>
    </row>
    <row r="34" spans="1:3" x14ac:dyDescent="0.3">
      <c r="A34" s="19" t="s">
        <v>150</v>
      </c>
      <c r="B34" s="19">
        <v>2023</v>
      </c>
      <c r="C34" s="20">
        <v>0.04</v>
      </c>
    </row>
    <row r="35" spans="1:3" x14ac:dyDescent="0.3">
      <c r="A35" s="19" t="s">
        <v>151</v>
      </c>
      <c r="B35" s="19">
        <v>2023</v>
      </c>
      <c r="C35" s="20">
        <v>4.3299999999999998E-2</v>
      </c>
    </row>
    <row r="36" spans="1:3" x14ac:dyDescent="0.3">
      <c r="A36" s="19" t="s">
        <v>152</v>
      </c>
      <c r="B36" s="19">
        <v>2023</v>
      </c>
      <c r="C36" s="20">
        <v>4.9700000000000001E-2</v>
      </c>
    </row>
    <row r="37" spans="1:3" x14ac:dyDescent="0.3">
      <c r="A37" s="19" t="s">
        <v>155</v>
      </c>
      <c r="B37" s="19">
        <v>2023</v>
      </c>
      <c r="C37" s="20">
        <v>5.4699999999999999E-2</v>
      </c>
    </row>
    <row r="38" spans="1:3" x14ac:dyDescent="0.3">
      <c r="A38" s="19" t="s">
        <v>154</v>
      </c>
      <c r="B38" s="19">
        <v>2023</v>
      </c>
      <c r="C38" s="20">
        <v>5.28E-2</v>
      </c>
    </row>
    <row r="39" spans="1:3" x14ac:dyDescent="0.3">
      <c r="A39" s="19" t="s">
        <v>143</v>
      </c>
      <c r="B39" s="19">
        <v>2022</v>
      </c>
      <c r="C39" s="20">
        <v>5.5100000000000003E-2</v>
      </c>
    </row>
    <row r="40" spans="1:3" x14ac:dyDescent="0.3">
      <c r="A40" s="19" t="s">
        <v>144</v>
      </c>
      <c r="B40" s="19">
        <v>2022</v>
      </c>
      <c r="C40" s="20">
        <v>5.4199999999999998E-2</v>
      </c>
    </row>
    <row r="41" spans="1:3" x14ac:dyDescent="0.3">
      <c r="A41" s="19" t="s">
        <v>145</v>
      </c>
      <c r="B41" s="19">
        <v>2022</v>
      </c>
      <c r="C41" s="20">
        <v>5.7099999999999998E-2</v>
      </c>
    </row>
    <row r="42" spans="1:3" x14ac:dyDescent="0.3">
      <c r="A42" s="19" t="s">
        <v>146</v>
      </c>
      <c r="B42" s="19">
        <v>2022</v>
      </c>
      <c r="C42" s="20">
        <v>5.9499999999999997E-2</v>
      </c>
    </row>
    <row r="43" spans="1:3" x14ac:dyDescent="0.3">
      <c r="A43" s="19" t="s">
        <v>147</v>
      </c>
      <c r="B43" s="19">
        <v>2022</v>
      </c>
      <c r="C43" s="20">
        <v>4.6899999999999997E-2</v>
      </c>
    </row>
    <row r="44" spans="1:3" x14ac:dyDescent="0.3">
      <c r="A44" s="19" t="s">
        <v>148</v>
      </c>
      <c r="B44" s="19">
        <v>2022</v>
      </c>
      <c r="C44" s="20">
        <v>4.9399999999999999E-2</v>
      </c>
    </row>
    <row r="45" spans="1:3" x14ac:dyDescent="0.3">
      <c r="A45" s="22" t="s">
        <v>149</v>
      </c>
      <c r="B45" s="19">
        <v>2022</v>
      </c>
      <c r="C45" s="20">
        <v>4.3499999999999997E-2</v>
      </c>
    </row>
    <row r="46" spans="1:3" x14ac:dyDescent="0.3">
      <c r="A46" s="21" t="s">
        <v>150</v>
      </c>
      <c r="B46" s="19">
        <v>2022</v>
      </c>
      <c r="C46" s="20">
        <v>3.5499999999999997E-2</v>
      </c>
    </row>
    <row r="47" spans="1:3" x14ac:dyDescent="0.3">
      <c r="A47" s="21" t="s">
        <v>151</v>
      </c>
      <c r="B47" s="19">
        <v>2022</v>
      </c>
      <c r="C47" s="20">
        <v>3.4700000000000002E-2</v>
      </c>
    </row>
    <row r="48" spans="1:3" x14ac:dyDescent="0.3">
      <c r="A48" s="21" t="s">
        <v>152</v>
      </c>
      <c r="B48" s="19">
        <v>2022</v>
      </c>
      <c r="C48" s="20">
        <v>2.64E-2</v>
      </c>
    </row>
    <row r="49" spans="1:3" x14ac:dyDescent="0.3">
      <c r="A49" s="21" t="s">
        <v>153</v>
      </c>
      <c r="B49" s="19">
        <v>2022</v>
      </c>
      <c r="C49" s="20">
        <v>2.06E-2</v>
      </c>
    </row>
    <row r="50" spans="1:3" x14ac:dyDescent="0.3">
      <c r="A50" s="21" t="s">
        <v>154</v>
      </c>
      <c r="B50" s="19">
        <v>2022</v>
      </c>
      <c r="C50" s="20">
        <v>2.18E-2</v>
      </c>
    </row>
    <row r="51" spans="1:3" x14ac:dyDescent="0.3">
      <c r="A51" s="19" t="s">
        <v>143</v>
      </c>
      <c r="B51" s="19">
        <v>2021</v>
      </c>
      <c r="C51" s="20">
        <v>1.8340000000000002E-2</v>
      </c>
    </row>
    <row r="52" spans="1:3" x14ac:dyDescent="0.3">
      <c r="A52" s="19" t="s">
        <v>144</v>
      </c>
      <c r="B52" s="19">
        <v>2021</v>
      </c>
      <c r="C52" s="20">
        <v>1.7500000000000002E-2</v>
      </c>
    </row>
    <row r="53" spans="1:3" x14ac:dyDescent="0.3">
      <c r="A53" s="19" t="s">
        <v>145</v>
      </c>
      <c r="B53" s="19">
        <v>2021</v>
      </c>
      <c r="C53" s="20">
        <v>1.66E-2</v>
      </c>
    </row>
    <row r="54" spans="1:3" x14ac:dyDescent="0.3">
      <c r="A54" s="19" t="s">
        <v>146</v>
      </c>
      <c r="B54" s="19">
        <v>2021</v>
      </c>
      <c r="C54" s="20">
        <v>1.6E-2</v>
      </c>
    </row>
    <row r="55" spans="1:3" x14ac:dyDescent="0.3">
      <c r="A55" s="19" t="s">
        <v>147</v>
      </c>
      <c r="B55" s="19">
        <v>2021</v>
      </c>
      <c r="C55" s="20">
        <v>1.5900000000000001E-2</v>
      </c>
    </row>
    <row r="56" spans="1:3" x14ac:dyDescent="0.3">
      <c r="A56" s="19" t="s">
        <v>148</v>
      </c>
      <c r="B56" s="19">
        <v>2021</v>
      </c>
      <c r="C56" s="20">
        <v>1.52E-2</v>
      </c>
    </row>
    <row r="57" spans="1:3" x14ac:dyDescent="0.3">
      <c r="A57" s="22" t="s">
        <v>149</v>
      </c>
      <c r="B57" s="19">
        <v>2021</v>
      </c>
      <c r="C57" s="20">
        <v>1.3299999999999999E-2</v>
      </c>
    </row>
    <row r="58" spans="1:3" x14ac:dyDescent="0.3">
      <c r="A58" s="21" t="s">
        <v>150</v>
      </c>
      <c r="B58" s="19">
        <v>2021</v>
      </c>
      <c r="C58" s="20">
        <v>1.6799999999999999E-2</v>
      </c>
    </row>
    <row r="59" spans="1:3" x14ac:dyDescent="0.3">
      <c r="A59" s="21" t="s">
        <v>151</v>
      </c>
      <c r="B59" s="19">
        <v>2021</v>
      </c>
      <c r="C59" s="20">
        <v>1.4200000000000001E-2</v>
      </c>
    </row>
    <row r="60" spans="1:3" x14ac:dyDescent="0.3">
      <c r="A60" s="21" t="s">
        <v>152</v>
      </c>
      <c r="B60" s="19">
        <v>2021</v>
      </c>
      <c r="C60" s="20">
        <v>1.37E-2</v>
      </c>
    </row>
    <row r="61" spans="1:3" x14ac:dyDescent="0.3">
      <c r="A61" s="21" t="s">
        <v>153</v>
      </c>
      <c r="B61" s="19">
        <v>2021</v>
      </c>
      <c r="C61" s="20">
        <v>1.38E-2</v>
      </c>
    </row>
    <row r="62" spans="1:3" x14ac:dyDescent="0.3">
      <c r="A62" s="21" t="s">
        <v>154</v>
      </c>
      <c r="B62" s="19">
        <v>2021</v>
      </c>
      <c r="C62" s="20">
        <v>1.5800000000000002E-2</v>
      </c>
    </row>
    <row r="63" spans="1:3" x14ac:dyDescent="0.3">
      <c r="A63" s="19" t="s">
        <v>143</v>
      </c>
      <c r="B63" s="19">
        <v>2020</v>
      </c>
      <c r="C63" s="20">
        <v>1.6799999999999999E-2</v>
      </c>
    </row>
    <row r="64" spans="1:3" x14ac:dyDescent="0.3">
      <c r="A64" s="19" t="s">
        <v>144</v>
      </c>
      <c r="B64" s="19">
        <v>2020</v>
      </c>
      <c r="C64" s="20">
        <v>1.5900000000000001E-2</v>
      </c>
    </row>
    <row r="65" spans="1:3" x14ac:dyDescent="0.3">
      <c r="A65" s="19" t="s">
        <v>145</v>
      </c>
      <c r="B65" s="19">
        <v>2020</v>
      </c>
      <c r="C65" s="20">
        <v>1.44E-2</v>
      </c>
    </row>
    <row r="66" spans="1:3" x14ac:dyDescent="0.3">
      <c r="A66" s="19" t="s">
        <v>146</v>
      </c>
      <c r="B66" s="19">
        <v>2020</v>
      </c>
      <c r="C66" s="20">
        <v>1.4200000000000001E-2</v>
      </c>
    </row>
    <row r="67" spans="1:3" x14ac:dyDescent="0.3">
      <c r="A67" s="19" t="s">
        <v>147</v>
      </c>
      <c r="B67" s="19">
        <v>2020</v>
      </c>
      <c r="C67" s="20">
        <v>1.32E-2</v>
      </c>
    </row>
    <row r="68" spans="1:3" x14ac:dyDescent="0.3">
      <c r="A68" s="19" t="s">
        <v>148</v>
      </c>
      <c r="B68" s="19">
        <v>2020</v>
      </c>
      <c r="C68" s="20">
        <v>1.54E-2</v>
      </c>
    </row>
    <row r="69" spans="1:3" x14ac:dyDescent="0.3">
      <c r="A69" s="22" t="s">
        <v>149</v>
      </c>
      <c r="B69" s="19">
        <v>2020</v>
      </c>
      <c r="C69" s="20">
        <v>1.9599999999999999E-2</v>
      </c>
    </row>
    <row r="70" spans="1:3" x14ac:dyDescent="0.3">
      <c r="A70" s="21" t="s">
        <v>150</v>
      </c>
      <c r="B70" s="19">
        <v>2020</v>
      </c>
      <c r="C70" s="20">
        <v>2.1899999999999999E-2</v>
      </c>
    </row>
    <row r="71" spans="1:3" x14ac:dyDescent="0.3">
      <c r="A71" s="21" t="s">
        <v>151</v>
      </c>
      <c r="B71" s="19">
        <v>2020</v>
      </c>
      <c r="C71" s="20">
        <v>2.6700000000000002E-2</v>
      </c>
    </row>
    <row r="72" spans="1:3" x14ac:dyDescent="0.3">
      <c r="A72" s="21" t="s">
        <v>152</v>
      </c>
      <c r="B72" s="19">
        <v>2020</v>
      </c>
      <c r="C72" s="20">
        <v>2.9600000000000001E-2</v>
      </c>
    </row>
    <row r="73" spans="1:3" x14ac:dyDescent="0.3">
      <c r="A73" s="21" t="s">
        <v>153</v>
      </c>
      <c r="B73" s="19">
        <v>2020</v>
      </c>
      <c r="C73" s="20">
        <v>2.98E-2</v>
      </c>
    </row>
    <row r="74" spans="1:3" x14ac:dyDescent="0.3">
      <c r="A74" s="21" t="s">
        <v>154</v>
      </c>
      <c r="B74" s="19">
        <v>2020</v>
      </c>
      <c r="C74" s="20">
        <v>2.6800000000000001E-2</v>
      </c>
    </row>
    <row r="75" spans="1:3" x14ac:dyDescent="0.3">
      <c r="A75" s="19" t="s">
        <v>143</v>
      </c>
      <c r="B75" s="19">
        <v>2019</v>
      </c>
      <c r="C75" s="20">
        <v>2.7199999999999998E-2</v>
      </c>
    </row>
    <row r="76" spans="1:3" x14ac:dyDescent="0.3">
      <c r="A76" s="19" t="s">
        <v>144</v>
      </c>
      <c r="B76" s="19">
        <v>2019</v>
      </c>
      <c r="C76" s="20">
        <v>0.03</v>
      </c>
    </row>
    <row r="77" spans="1:3" x14ac:dyDescent="0.3">
      <c r="A77" s="19" t="s">
        <v>145</v>
      </c>
      <c r="B77" s="19">
        <v>2019</v>
      </c>
      <c r="C77" s="20">
        <v>3.1300000000000001E-2</v>
      </c>
    </row>
    <row r="78" spans="1:3" x14ac:dyDescent="0.3">
      <c r="A78" s="19" t="s">
        <v>146</v>
      </c>
      <c r="B78" s="19">
        <v>2019</v>
      </c>
      <c r="C78" s="20">
        <v>3.39E-2</v>
      </c>
    </row>
    <row r="79" spans="1:3" x14ac:dyDescent="0.3">
      <c r="A79" s="19" t="s">
        <v>147</v>
      </c>
      <c r="B79" s="19">
        <v>2019</v>
      </c>
      <c r="C79" s="20">
        <v>3.49E-2</v>
      </c>
    </row>
    <row r="80" spans="1:3" x14ac:dyDescent="0.3">
      <c r="A80" s="19" t="s">
        <v>148</v>
      </c>
      <c r="B80" s="19">
        <v>2019</v>
      </c>
      <c r="C80" s="20">
        <v>3.32E-2</v>
      </c>
    </row>
    <row r="81" spans="1:3" x14ac:dyDescent="0.3">
      <c r="A81" s="22" t="s">
        <v>149</v>
      </c>
      <c r="B81" s="19">
        <v>2019</v>
      </c>
      <c r="C81" s="20">
        <v>3.2800000000000003E-2</v>
      </c>
    </row>
    <row r="82" spans="1:3" x14ac:dyDescent="0.3">
      <c r="A82" s="21" t="s">
        <v>150</v>
      </c>
      <c r="B82" s="19">
        <v>2019</v>
      </c>
      <c r="C82" s="20">
        <v>3.32E-2</v>
      </c>
    </row>
    <row r="83" spans="1:3" x14ac:dyDescent="0.3">
      <c r="A83" s="21" t="s">
        <v>151</v>
      </c>
      <c r="B83" s="19">
        <v>2019</v>
      </c>
      <c r="C83" s="20">
        <v>2.8299999999999999E-2</v>
      </c>
    </row>
    <row r="84" spans="1:3" x14ac:dyDescent="0.3">
      <c r="A84" s="21" t="s">
        <v>152</v>
      </c>
      <c r="B84" s="19">
        <v>2019</v>
      </c>
      <c r="C84" s="20">
        <v>2.4799999999999999E-2</v>
      </c>
    </row>
    <row r="85" spans="1:3" x14ac:dyDescent="0.3">
      <c r="A85" s="21" t="s">
        <v>153</v>
      </c>
      <c r="B85" s="19">
        <v>2019</v>
      </c>
      <c r="C85" s="20">
        <v>2.5700000000000001E-2</v>
      </c>
    </row>
    <row r="86" spans="1:3" x14ac:dyDescent="0.3">
      <c r="A86" s="21" t="s">
        <v>154</v>
      </c>
      <c r="B86" s="19">
        <v>2019</v>
      </c>
      <c r="C86" s="20">
        <v>2.8199999999999999E-2</v>
      </c>
    </row>
    <row r="87" spans="1:3" x14ac:dyDescent="0.3">
      <c r="A87" s="19" t="s">
        <v>143</v>
      </c>
      <c r="B87" s="19">
        <v>2018</v>
      </c>
      <c r="C87" s="20">
        <v>3.1300000000000001E-2</v>
      </c>
    </row>
    <row r="88" spans="1:3" x14ac:dyDescent="0.3">
      <c r="A88" s="19" t="s">
        <v>144</v>
      </c>
      <c r="B88" s="19">
        <v>2018</v>
      </c>
      <c r="C88" s="20">
        <v>3.2300000000000002E-2</v>
      </c>
    </row>
    <row r="89" spans="1:3" x14ac:dyDescent="0.3">
      <c r="A89" s="19" t="s">
        <v>145</v>
      </c>
      <c r="B89" s="19">
        <v>2018</v>
      </c>
      <c r="C89" s="20">
        <v>3.1600000000000003E-2</v>
      </c>
    </row>
    <row r="90" spans="1:3" x14ac:dyDescent="0.3">
      <c r="A90" s="19" t="s">
        <v>146</v>
      </c>
      <c r="B90" s="19">
        <v>2018</v>
      </c>
      <c r="C90" s="20">
        <v>2.8799999999999999E-2</v>
      </c>
    </row>
    <row r="91" spans="1:3" x14ac:dyDescent="0.3">
      <c r="A91" s="19" t="s">
        <v>147</v>
      </c>
      <c r="B91" s="19">
        <v>2018</v>
      </c>
      <c r="C91" s="20">
        <v>3.2000000000000001E-2</v>
      </c>
    </row>
    <row r="92" spans="1:3" x14ac:dyDescent="0.3">
      <c r="A92" s="19" t="s">
        <v>148</v>
      </c>
      <c r="B92" s="19">
        <v>2018</v>
      </c>
      <c r="C92" s="20">
        <v>3.1800000000000002E-2</v>
      </c>
    </row>
    <row r="93" spans="1:3" x14ac:dyDescent="0.3">
      <c r="A93" s="22" t="s">
        <v>149</v>
      </c>
      <c r="B93" s="19">
        <v>2018</v>
      </c>
      <c r="C93" s="20">
        <v>3.1199999999999999E-2</v>
      </c>
    </row>
    <row r="94" spans="1:3" x14ac:dyDescent="0.3">
      <c r="A94" s="21" t="s">
        <v>150</v>
      </c>
      <c r="B94" s="19">
        <v>2018</v>
      </c>
      <c r="C94" s="20">
        <v>3.2300000000000002E-2</v>
      </c>
    </row>
    <row r="95" spans="1:3" x14ac:dyDescent="0.3">
      <c r="A95" s="21" t="s">
        <v>151</v>
      </c>
      <c r="B95" s="19">
        <v>2018</v>
      </c>
      <c r="C95" s="20">
        <v>3.4099999999999998E-2</v>
      </c>
    </row>
    <row r="96" spans="1:3" x14ac:dyDescent="0.3">
      <c r="A96" s="21" t="s">
        <v>152</v>
      </c>
      <c r="B96" s="19">
        <v>2018</v>
      </c>
      <c r="C96" s="20">
        <v>3.4000000000000002E-2</v>
      </c>
    </row>
    <row r="97" spans="1:3" x14ac:dyDescent="0.3">
      <c r="A97" s="21" t="s">
        <v>153</v>
      </c>
      <c r="B97" s="19">
        <v>2018</v>
      </c>
      <c r="C97" s="20">
        <v>3.1800000000000002E-2</v>
      </c>
    </row>
    <row r="98" spans="1:3" x14ac:dyDescent="0.3">
      <c r="A98" s="21" t="s">
        <v>154</v>
      </c>
      <c r="B98" s="19">
        <v>2018</v>
      </c>
      <c r="C98" s="20">
        <v>3.2500000000000001E-2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4571-6360-4B70-8DD8-A52ADC63C372}">
  <dimension ref="B2:H43"/>
  <sheetViews>
    <sheetView workbookViewId="0">
      <selection activeCell="C4" sqref="C4"/>
    </sheetView>
  </sheetViews>
  <sheetFormatPr defaultRowHeight="14.4" x14ac:dyDescent="0.3"/>
  <sheetData>
    <row r="2" spans="2:8" x14ac:dyDescent="0.3">
      <c r="B2" s="13" t="s">
        <v>0</v>
      </c>
    </row>
    <row r="3" spans="2:8" x14ac:dyDescent="0.3">
      <c r="B3" s="26" t="s">
        <v>1</v>
      </c>
      <c r="C3" s="27">
        <v>2020</v>
      </c>
      <c r="D3" s="27">
        <v>2021</v>
      </c>
      <c r="E3" s="27">
        <v>2022</v>
      </c>
      <c r="F3" s="27">
        <v>2023</v>
      </c>
      <c r="G3" s="27">
        <v>2024</v>
      </c>
      <c r="H3" s="27">
        <v>2025</v>
      </c>
    </row>
    <row r="4" spans="2:8" x14ac:dyDescent="0.3">
      <c r="B4" s="28">
        <v>1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</row>
    <row r="5" spans="2:8" x14ac:dyDescent="0.3">
      <c r="B5" s="28">
        <f>B4+1</f>
        <v>2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</row>
    <row r="6" spans="2:8" x14ac:dyDescent="0.3">
      <c r="B6" s="28">
        <f t="shared" ref="B6:B12" si="0">B5+1</f>
        <v>3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</row>
    <row r="7" spans="2:8" x14ac:dyDescent="0.3">
      <c r="B7" s="28">
        <f t="shared" si="0"/>
        <v>4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</row>
    <row r="8" spans="2:8" x14ac:dyDescent="0.3">
      <c r="B8" s="28">
        <f t="shared" si="0"/>
        <v>5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</row>
    <row r="9" spans="2:8" x14ac:dyDescent="0.3">
      <c r="B9" s="28">
        <f t="shared" si="0"/>
        <v>6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</row>
    <row r="10" spans="2:8" x14ac:dyDescent="0.3">
      <c r="B10" s="28">
        <f t="shared" si="0"/>
        <v>7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</row>
    <row r="11" spans="2:8" x14ac:dyDescent="0.3">
      <c r="B11" s="28">
        <f t="shared" si="0"/>
        <v>8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</row>
    <row r="12" spans="2:8" x14ac:dyDescent="0.3">
      <c r="B12" s="28">
        <f t="shared" si="0"/>
        <v>9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</row>
    <row r="13" spans="2:8" x14ac:dyDescent="0.3">
      <c r="B13" s="28">
        <v>10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</row>
    <row r="14" spans="2:8" x14ac:dyDescent="0.3">
      <c r="B14" s="28">
        <v>11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</row>
    <row r="15" spans="2:8" x14ac:dyDescent="0.3">
      <c r="B15" s="28">
        <v>12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</row>
    <row r="16" spans="2:8" x14ac:dyDescent="0.3">
      <c r="B16" s="28">
        <v>13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</row>
    <row r="17" spans="2:8" x14ac:dyDescent="0.3">
      <c r="B17" s="28">
        <v>14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</row>
    <row r="18" spans="2:8" x14ac:dyDescent="0.3">
      <c r="B18" s="28">
        <v>15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</row>
    <row r="19" spans="2:8" x14ac:dyDescent="0.3">
      <c r="B19" s="28">
        <v>16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</row>
    <row r="20" spans="2:8" x14ac:dyDescent="0.3">
      <c r="B20" s="28">
        <v>17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</row>
    <row r="21" spans="2:8" x14ac:dyDescent="0.3">
      <c r="B21" s="28">
        <v>18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</row>
    <row r="22" spans="2:8" x14ac:dyDescent="0.3">
      <c r="B22" s="28">
        <v>19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</row>
    <row r="23" spans="2:8" x14ac:dyDescent="0.3">
      <c r="B23" s="28">
        <v>20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</row>
    <row r="24" spans="2:8" x14ac:dyDescent="0.3">
      <c r="B24" s="31">
        <v>21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</row>
    <row r="25" spans="2:8" x14ac:dyDescent="0.3">
      <c r="B25" s="28">
        <v>22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</row>
    <row r="26" spans="2:8" x14ac:dyDescent="0.3">
      <c r="B26" s="28">
        <v>23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</row>
    <row r="27" spans="2:8" x14ac:dyDescent="0.3">
      <c r="B27" s="31">
        <v>24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</row>
    <row r="28" spans="2:8" x14ac:dyDescent="0.3">
      <c r="B28" s="28">
        <v>25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</row>
    <row r="29" spans="2:8" x14ac:dyDescent="0.3">
      <c r="B29" s="28">
        <v>26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</row>
    <row r="30" spans="2:8" x14ac:dyDescent="0.3">
      <c r="B30" s="28">
        <v>27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</row>
    <row r="31" spans="2:8" x14ac:dyDescent="0.3">
      <c r="B31" s="28">
        <v>28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</row>
    <row r="32" spans="2:8" x14ac:dyDescent="0.3">
      <c r="B32" s="28">
        <v>29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</row>
    <row r="33" spans="2:8" x14ac:dyDescent="0.3">
      <c r="B33" s="28">
        <v>30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</row>
    <row r="34" spans="2:8" x14ac:dyDescent="0.3">
      <c r="B34" s="28">
        <v>31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</row>
    <row r="35" spans="2:8" x14ac:dyDescent="0.3">
      <c r="B35" s="28">
        <v>32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</row>
    <row r="36" spans="2:8" x14ac:dyDescent="0.3">
      <c r="B36" s="28">
        <v>33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</row>
    <row r="37" spans="2:8" x14ac:dyDescent="0.3">
      <c r="B37" s="28">
        <v>34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</row>
    <row r="38" spans="2:8" x14ac:dyDescent="0.3">
      <c r="B38" s="28">
        <v>35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</row>
    <row r="39" spans="2:8" x14ac:dyDescent="0.3">
      <c r="B39" s="28">
        <v>36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</row>
    <row r="40" spans="2:8" x14ac:dyDescent="0.3">
      <c r="B40" s="28">
        <v>37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</row>
    <row r="41" spans="2:8" x14ac:dyDescent="0.3">
      <c r="B41" s="28">
        <v>38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</row>
    <row r="42" spans="2:8" x14ac:dyDescent="0.3">
      <c r="B42" s="28">
        <v>39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</row>
    <row r="43" spans="2:8" x14ac:dyDescent="0.3">
      <c r="B43" s="32">
        <v>40</v>
      </c>
      <c r="C43" s="33">
        <v>0</v>
      </c>
      <c r="D43" s="33">
        <v>0</v>
      </c>
      <c r="E43" s="33">
        <v>0</v>
      </c>
      <c r="F43" s="33">
        <v>0</v>
      </c>
      <c r="G43" s="33">
        <v>0</v>
      </c>
      <c r="H43" s="3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30CB-9422-4A00-BB5C-C15D9E628D02}">
  <dimension ref="B1:I61"/>
  <sheetViews>
    <sheetView topLeftCell="C1" workbookViewId="0">
      <selection activeCell="D22" sqref="D22"/>
    </sheetView>
  </sheetViews>
  <sheetFormatPr defaultRowHeight="14.4" x14ac:dyDescent="0.3"/>
  <cols>
    <col min="2" max="2" width="3.88671875" customWidth="1"/>
    <col min="3" max="3" width="38.6640625" customWidth="1"/>
    <col min="4" max="5" width="12.77734375" style="56" customWidth="1"/>
    <col min="6" max="6" width="13.44140625" bestFit="1" customWidth="1"/>
    <col min="7" max="7" width="12.77734375" customWidth="1"/>
    <col min="8" max="8" width="13.44140625" bestFit="1" customWidth="1"/>
    <col min="9" max="9" width="11.44140625" customWidth="1"/>
  </cols>
  <sheetData>
    <row r="1" spans="2:9" x14ac:dyDescent="0.3">
      <c r="B1" s="47"/>
      <c r="C1" s="47"/>
      <c r="D1" s="54"/>
      <c r="E1" s="54"/>
      <c r="F1" s="47"/>
      <c r="G1" s="47"/>
      <c r="H1" s="47"/>
    </row>
    <row r="2" spans="2:9" x14ac:dyDescent="0.3">
      <c r="B2" s="47"/>
      <c r="C2" s="47"/>
      <c r="D2" s="55"/>
      <c r="E2" s="55"/>
      <c r="F2" s="48"/>
      <c r="G2" s="48"/>
      <c r="H2" s="48"/>
    </row>
    <row r="3" spans="2:9" x14ac:dyDescent="0.3">
      <c r="B3" s="49"/>
      <c r="C3" s="50"/>
      <c r="D3" s="57">
        <v>2020</v>
      </c>
      <c r="E3" s="57">
        <v>2021</v>
      </c>
      <c r="F3" s="57">
        <f t="shared" ref="F3:I3" si="0">E3+1</f>
        <v>2022</v>
      </c>
      <c r="G3" s="57">
        <f t="shared" si="0"/>
        <v>2023</v>
      </c>
      <c r="H3" s="57">
        <f t="shared" si="0"/>
        <v>2024</v>
      </c>
      <c r="I3" s="57">
        <f t="shared" si="0"/>
        <v>2025</v>
      </c>
    </row>
    <row r="4" spans="2:9" s="2" customFormat="1" x14ac:dyDescent="0.3">
      <c r="B4" s="58" t="s">
        <v>164</v>
      </c>
      <c r="C4" s="58"/>
      <c r="D4" s="61">
        <f>D5+D6-D7</f>
        <v>631220.91274546017</v>
      </c>
      <c r="E4" s="61">
        <f>E5+E6-E7</f>
        <v>725671.32435851998</v>
      </c>
      <c r="F4" s="61">
        <f t="shared" ref="F4:I4" si="1">F5+F6-F7</f>
        <v>887809.23006442992</v>
      </c>
      <c r="G4" s="61">
        <f t="shared" si="1"/>
        <v>1119364.0968386298</v>
      </c>
      <c r="H4" s="61">
        <f t="shared" si="1"/>
        <v>1455726.4192673699</v>
      </c>
      <c r="I4" s="61">
        <f t="shared" si="1"/>
        <v>485004.77419248008</v>
      </c>
    </row>
    <row r="5" spans="2:9" x14ac:dyDescent="0.3">
      <c r="B5" s="49"/>
      <c r="C5" s="50" t="s">
        <v>170</v>
      </c>
      <c r="D5" s="53">
        <v>715922.26347364008</v>
      </c>
      <c r="E5" s="53">
        <v>828704.32695153996</v>
      </c>
      <c r="F5" s="53">
        <v>984044.63400396984</v>
      </c>
      <c r="G5" s="53">
        <v>1250023.6510187997</v>
      </c>
      <c r="H5" s="53">
        <v>1546637.0385071498</v>
      </c>
      <c r="I5" s="56">
        <v>553382.08456555009</v>
      </c>
    </row>
    <row r="6" spans="2:9" x14ac:dyDescent="0.3">
      <c r="B6" s="49"/>
      <c r="C6" s="50" t="s">
        <v>171</v>
      </c>
      <c r="D6" s="53">
        <v>221.92589749999999</v>
      </c>
      <c r="E6" s="53">
        <v>96.86506700999999</v>
      </c>
      <c r="F6" s="53">
        <v>49.928393499999999</v>
      </c>
      <c r="G6" s="53"/>
      <c r="H6" s="53"/>
      <c r="I6" s="56"/>
    </row>
    <row r="7" spans="2:9" x14ac:dyDescent="0.3">
      <c r="B7" s="49"/>
      <c r="C7" s="50" t="s">
        <v>172</v>
      </c>
      <c r="D7" s="53">
        <v>84923.27662567998</v>
      </c>
      <c r="E7" s="53">
        <v>103129.86766003</v>
      </c>
      <c r="F7" s="53">
        <v>96285.332333039987</v>
      </c>
      <c r="G7" s="53">
        <v>130659.55418017002</v>
      </c>
      <c r="H7" s="53">
        <v>90910.619239780004</v>
      </c>
      <c r="I7" s="56">
        <v>68377.310373069995</v>
      </c>
    </row>
    <row r="8" spans="2:9" x14ac:dyDescent="0.3">
      <c r="B8" s="49"/>
      <c r="C8" s="50"/>
      <c r="D8" s="53"/>
      <c r="E8" s="53"/>
      <c r="F8" s="53"/>
      <c r="G8" s="53"/>
      <c r="H8" s="53"/>
      <c r="I8" s="56"/>
    </row>
    <row r="9" spans="2:9" s="2" customFormat="1" x14ac:dyDescent="0.3">
      <c r="B9" s="58" t="s">
        <v>165</v>
      </c>
      <c r="C9" s="58"/>
      <c r="D9" s="61">
        <f>SUM(D10:D13)</f>
        <v>139626.28153583454</v>
      </c>
      <c r="E9" s="61">
        <f>SUM(E10:E13)</f>
        <v>175311.83631291619</v>
      </c>
      <c r="F9" s="61">
        <f t="shared" ref="F9:I9" si="2">SUM(F10:F13)</f>
        <v>165003.17906774388</v>
      </c>
      <c r="G9" s="61">
        <f t="shared" si="2"/>
        <v>159706.74430740988</v>
      </c>
      <c r="H9" s="61">
        <f t="shared" si="2"/>
        <v>174065.33038490507</v>
      </c>
      <c r="I9" s="61">
        <f t="shared" si="2"/>
        <v>126131.93374341002</v>
      </c>
    </row>
    <row r="10" spans="2:9" x14ac:dyDescent="0.3">
      <c r="B10" s="49"/>
      <c r="C10" s="50" t="s">
        <v>166</v>
      </c>
      <c r="D10" s="53">
        <v>34944.518290890002</v>
      </c>
      <c r="E10" s="53">
        <v>66394.975467219992</v>
      </c>
      <c r="F10" s="53">
        <v>65821.886569260008</v>
      </c>
      <c r="G10" s="53">
        <v>71064.306415839994</v>
      </c>
      <c r="H10" s="53">
        <v>84491.543604842795</v>
      </c>
      <c r="I10" s="56">
        <v>68441.213726900009</v>
      </c>
    </row>
    <row r="11" spans="2:9" x14ac:dyDescent="0.3">
      <c r="B11" s="49"/>
      <c r="C11" s="50" t="s">
        <v>167</v>
      </c>
      <c r="D11" s="53">
        <v>60947.394813269995</v>
      </c>
      <c r="E11" s="53">
        <v>66717.216628020004</v>
      </c>
      <c r="F11" s="53">
        <v>69290.973004610001</v>
      </c>
      <c r="G11" s="53">
        <v>62839.272234800002</v>
      </c>
      <c r="H11" s="53">
        <v>49923.441292269999</v>
      </c>
      <c r="I11" s="56">
        <v>39861.898609019998</v>
      </c>
    </row>
    <row r="12" spans="2:9" x14ac:dyDescent="0.3">
      <c r="B12" s="49"/>
      <c r="C12" s="50" t="s">
        <v>168</v>
      </c>
      <c r="D12" s="53">
        <v>5387.7795130000004</v>
      </c>
      <c r="E12" s="53">
        <v>6906.4186578400004</v>
      </c>
      <c r="F12" s="53">
        <v>4800.485807</v>
      </c>
      <c r="G12" s="53">
        <v>4300.5855957900003</v>
      </c>
      <c r="H12" s="53">
        <v>1805.3834609800001</v>
      </c>
      <c r="I12" s="56">
        <v>1397.823883</v>
      </c>
    </row>
    <row r="13" spans="2:9" x14ac:dyDescent="0.3">
      <c r="B13" s="49"/>
      <c r="C13" s="50" t="s">
        <v>169</v>
      </c>
      <c r="D13" s="53">
        <v>38346.588918674548</v>
      </c>
      <c r="E13" s="53">
        <v>35293.225559836195</v>
      </c>
      <c r="F13" s="53">
        <v>25089.833686873855</v>
      </c>
      <c r="G13" s="53">
        <v>21502.580060979879</v>
      </c>
      <c r="H13" s="53">
        <v>37844.962026812282</v>
      </c>
      <c r="I13" s="56">
        <v>16430.997524490002</v>
      </c>
    </row>
    <row r="14" spans="2:9" x14ac:dyDescent="0.3">
      <c r="B14" s="49"/>
      <c r="C14" s="50"/>
      <c r="D14" s="53"/>
      <c r="E14" s="53"/>
      <c r="F14" s="53"/>
      <c r="G14" s="53"/>
      <c r="H14" s="53"/>
      <c r="I14" s="56"/>
    </row>
    <row r="15" spans="2:9" s="2" customFormat="1" x14ac:dyDescent="0.3">
      <c r="B15" s="58" t="s">
        <v>173</v>
      </c>
      <c r="C15" s="59"/>
      <c r="D15" s="60">
        <f t="shared" ref="D15" si="3">D9/D4</f>
        <v>0.22120034161817898</v>
      </c>
      <c r="E15" s="60">
        <f t="shared" ref="E15:I15" si="4">E9/E4</f>
        <v>0.2415857295558545</v>
      </c>
      <c r="F15" s="60">
        <f t="shared" si="4"/>
        <v>0.18585431811265277</v>
      </c>
      <c r="G15" s="60">
        <f t="shared" si="4"/>
        <v>0.14267631484560075</v>
      </c>
      <c r="H15" s="60">
        <f t="shared" si="4"/>
        <v>0.11957283187352451</v>
      </c>
      <c r="I15" s="60">
        <f t="shared" si="4"/>
        <v>0.26006328278606389</v>
      </c>
    </row>
    <row r="16" spans="2:9" x14ac:dyDescent="0.3">
      <c r="B16" s="49"/>
      <c r="C16" s="50" t="s">
        <v>166</v>
      </c>
      <c r="D16" s="51">
        <f t="shared" ref="D16" si="5">D10/D$4</f>
        <v>5.5360203670852363E-2</v>
      </c>
      <c r="E16" s="51">
        <f t="shared" ref="E16:I16" si="6">E10/E$4</f>
        <v>9.1494555783793605E-2</v>
      </c>
      <c r="F16" s="51">
        <f t="shared" si="6"/>
        <v>7.4139673637413292E-2</v>
      </c>
      <c r="G16" s="51">
        <f t="shared" si="6"/>
        <v>6.3486319256213189E-2</v>
      </c>
      <c r="H16" s="51">
        <f t="shared" si="6"/>
        <v>5.8040812124138849E-2</v>
      </c>
      <c r="I16" s="51">
        <f t="shared" si="6"/>
        <v>0.14111451550317786</v>
      </c>
    </row>
    <row r="17" spans="2:9" x14ac:dyDescent="0.3">
      <c r="B17" s="49"/>
      <c r="C17" s="50" t="s">
        <v>167</v>
      </c>
      <c r="D17" s="51">
        <f t="shared" ref="D17" si="7">D11/D$4</f>
        <v>9.655477754718661E-2</v>
      </c>
      <c r="E17" s="51">
        <f t="shared" ref="E17:I17" si="8">E11/E$4</f>
        <v>9.1938615167130644E-2</v>
      </c>
      <c r="F17" s="51">
        <f t="shared" si="8"/>
        <v>7.8047141951409341E-2</v>
      </c>
      <c r="G17" s="51">
        <f t="shared" si="8"/>
        <v>5.6138366785458069E-2</v>
      </c>
      <c r="H17" s="51">
        <f t="shared" si="8"/>
        <v>3.4294521711981565E-2</v>
      </c>
      <c r="I17" s="51">
        <f t="shared" si="8"/>
        <v>8.218867262778802E-2</v>
      </c>
    </row>
    <row r="18" spans="2:9" x14ac:dyDescent="0.3">
      <c r="B18" s="49"/>
      <c r="C18" s="50" t="s">
        <v>168</v>
      </c>
      <c r="D18" s="51">
        <f t="shared" ref="D18" si="9">D12/D$4</f>
        <v>8.535489563497119E-3</v>
      </c>
      <c r="E18" s="51">
        <f t="shared" ref="E18:I19" si="10">E12/E$4</f>
        <v>9.5172820339085966E-3</v>
      </c>
      <c r="F18" s="51">
        <f t="shared" si="10"/>
        <v>5.4071141011359167E-3</v>
      </c>
      <c r="G18" s="51">
        <f t="shared" si="10"/>
        <v>3.841989936907886E-3</v>
      </c>
      <c r="H18" s="51">
        <f t="shared" si="10"/>
        <v>1.2401941993253126E-3</v>
      </c>
      <c r="I18" s="51">
        <f t="shared" si="10"/>
        <v>2.8820827286233199E-3</v>
      </c>
    </row>
    <row r="19" spans="2:9" x14ac:dyDescent="0.3">
      <c r="B19" s="52"/>
      <c r="C19" s="50" t="s">
        <v>169</v>
      </c>
      <c r="D19" s="51">
        <f t="shared" ref="D19" si="11">D13/D$4</f>
        <v>6.0749870836642905E-2</v>
      </c>
      <c r="E19" s="51">
        <f t="shared" si="10"/>
        <v>4.8635276571021673E-2</v>
      </c>
      <c r="F19" s="51">
        <f t="shared" si="10"/>
        <v>2.8260388422694186E-2</v>
      </c>
      <c r="G19" s="51">
        <f t="shared" si="10"/>
        <v>1.9209638867021605E-2</v>
      </c>
      <c r="H19" s="51">
        <f t="shared" si="10"/>
        <v>2.5997303838078786E-2</v>
      </c>
      <c r="I19" s="51">
        <f t="shared" si="10"/>
        <v>3.3878011926474688E-2</v>
      </c>
    </row>
    <row r="20" spans="2:9" x14ac:dyDescent="0.3">
      <c r="B20" s="52"/>
      <c r="C20" s="50"/>
      <c r="D20" s="53"/>
      <c r="E20" s="53"/>
      <c r="F20" s="51"/>
      <c r="G20" s="51"/>
      <c r="H20" s="51"/>
    </row>
    <row r="21" spans="2:9" x14ac:dyDescent="0.3">
      <c r="B21" s="52"/>
      <c r="C21" s="50"/>
      <c r="D21" s="53"/>
      <c r="E21" s="53"/>
      <c r="F21" s="51"/>
      <c r="G21" s="51"/>
      <c r="H21" s="51"/>
    </row>
    <row r="22" spans="2:9" x14ac:dyDescent="0.3">
      <c r="B22" s="52"/>
      <c r="C22" s="50"/>
      <c r="D22" s="53"/>
      <c r="E22" s="53"/>
      <c r="F22" s="51"/>
      <c r="G22" s="51"/>
      <c r="H22" s="51"/>
    </row>
    <row r="23" spans="2:9" x14ac:dyDescent="0.3">
      <c r="B23" s="52"/>
      <c r="C23" s="50"/>
      <c r="D23" s="53"/>
      <c r="E23" s="53"/>
      <c r="F23" s="51"/>
      <c r="G23" s="51"/>
      <c r="H23" s="51"/>
    </row>
    <row r="24" spans="2:9" x14ac:dyDescent="0.3">
      <c r="B24" s="52"/>
      <c r="C24" s="50"/>
      <c r="D24" s="53"/>
      <c r="E24" s="53"/>
      <c r="F24" s="51"/>
      <c r="G24" s="51"/>
      <c r="H24" s="51"/>
    </row>
    <row r="25" spans="2:9" x14ac:dyDescent="0.3">
      <c r="B25" s="52"/>
      <c r="C25" s="50"/>
      <c r="D25" s="53"/>
      <c r="E25" s="53"/>
      <c r="F25" s="51"/>
      <c r="G25" s="51"/>
      <c r="H25" s="51"/>
    </row>
    <row r="26" spans="2:9" x14ac:dyDescent="0.3">
      <c r="B26" s="52"/>
      <c r="C26" s="50"/>
      <c r="D26" s="53"/>
      <c r="E26" s="53"/>
      <c r="F26" s="51"/>
      <c r="G26" s="51"/>
      <c r="H26" s="51"/>
    </row>
    <row r="27" spans="2:9" x14ac:dyDescent="0.3">
      <c r="B27" s="52"/>
      <c r="C27" s="50"/>
      <c r="D27" s="53"/>
      <c r="E27" s="53"/>
      <c r="F27" s="51"/>
      <c r="G27" s="51"/>
      <c r="H27" s="51"/>
    </row>
    <row r="28" spans="2:9" x14ac:dyDescent="0.3">
      <c r="B28" s="52"/>
      <c r="C28" s="50"/>
      <c r="D28" s="53"/>
      <c r="E28" s="53"/>
      <c r="F28" s="51"/>
      <c r="G28" s="51"/>
      <c r="H28" s="51"/>
    </row>
    <row r="29" spans="2:9" x14ac:dyDescent="0.3">
      <c r="B29" s="52"/>
      <c r="C29" s="50"/>
      <c r="D29" s="53"/>
      <c r="E29" s="53"/>
      <c r="F29" s="51"/>
      <c r="G29" s="51"/>
      <c r="H29" s="51"/>
    </row>
    <row r="30" spans="2:9" x14ac:dyDescent="0.3">
      <c r="B30" s="52"/>
      <c r="C30" s="50"/>
      <c r="D30" s="53"/>
      <c r="E30" s="53"/>
      <c r="F30" s="51"/>
      <c r="G30" s="51"/>
      <c r="H30" s="51"/>
    </row>
    <row r="31" spans="2:9" x14ac:dyDescent="0.3">
      <c r="B31" s="52"/>
      <c r="C31" s="50"/>
      <c r="D31" s="53"/>
      <c r="E31" s="53"/>
      <c r="F31" s="51"/>
      <c r="G31" s="51"/>
      <c r="H31" s="51"/>
    </row>
    <row r="32" spans="2:9" x14ac:dyDescent="0.3">
      <c r="B32" s="52"/>
      <c r="C32" s="50"/>
      <c r="D32" s="53"/>
      <c r="E32" s="53"/>
      <c r="F32" s="51"/>
      <c r="G32" s="51"/>
      <c r="H32" s="51"/>
    </row>
    <row r="33" spans="2:8" x14ac:dyDescent="0.3">
      <c r="B33" s="52"/>
      <c r="C33" s="50"/>
      <c r="D33" s="53"/>
      <c r="E33" s="53"/>
      <c r="F33" s="51"/>
      <c r="G33" s="51"/>
      <c r="H33" s="51"/>
    </row>
    <row r="34" spans="2:8" x14ac:dyDescent="0.3">
      <c r="B34" s="52"/>
      <c r="C34" s="50"/>
      <c r="D34" s="53"/>
      <c r="E34" s="53"/>
      <c r="F34" s="51"/>
      <c r="G34" s="51"/>
      <c r="H34" s="51"/>
    </row>
    <row r="35" spans="2:8" x14ac:dyDescent="0.3">
      <c r="B35" s="52"/>
      <c r="C35" s="50"/>
      <c r="D35" s="53"/>
      <c r="E35" s="53"/>
      <c r="F35" s="51"/>
      <c r="G35" s="51"/>
      <c r="H35" s="51"/>
    </row>
    <row r="36" spans="2:8" x14ac:dyDescent="0.3">
      <c r="B36" s="52"/>
      <c r="C36" s="50"/>
      <c r="D36" s="53"/>
      <c r="E36" s="53"/>
      <c r="F36" s="51"/>
      <c r="G36" s="51"/>
      <c r="H36" s="51"/>
    </row>
    <row r="37" spans="2:8" x14ac:dyDescent="0.3">
      <c r="B37" s="52"/>
      <c r="C37" s="50"/>
      <c r="D37" s="53"/>
      <c r="E37" s="53"/>
      <c r="F37" s="51"/>
      <c r="G37" s="51"/>
      <c r="H37" s="51"/>
    </row>
    <row r="38" spans="2:8" x14ac:dyDescent="0.3">
      <c r="B38" s="52"/>
      <c r="C38" s="50"/>
      <c r="D38" s="53"/>
      <c r="E38" s="53"/>
      <c r="F38" s="51"/>
      <c r="G38" s="51"/>
      <c r="H38" s="51"/>
    </row>
    <row r="39" spans="2:8" x14ac:dyDescent="0.3">
      <c r="B39" s="52"/>
      <c r="C39" s="50"/>
      <c r="D39" s="53"/>
      <c r="E39" s="53"/>
      <c r="F39" s="51"/>
      <c r="G39" s="51"/>
      <c r="H39" s="51"/>
    </row>
    <row r="40" spans="2:8" x14ac:dyDescent="0.3">
      <c r="B40" s="52"/>
      <c r="C40" s="50"/>
      <c r="D40" s="53"/>
      <c r="E40" s="53"/>
      <c r="F40" s="51"/>
      <c r="G40" s="51"/>
      <c r="H40" s="51"/>
    </row>
    <row r="41" spans="2:8" x14ac:dyDescent="0.3">
      <c r="B41" s="52"/>
      <c r="C41" s="50"/>
      <c r="D41" s="53"/>
      <c r="E41" s="53"/>
      <c r="F41" s="51"/>
      <c r="G41" s="51"/>
      <c r="H41" s="51"/>
    </row>
    <row r="42" spans="2:8" x14ac:dyDescent="0.3">
      <c r="B42" s="52"/>
      <c r="C42" s="50"/>
      <c r="D42" s="53"/>
      <c r="E42" s="53"/>
      <c r="F42" s="51"/>
      <c r="G42" s="51"/>
      <c r="H42" s="51"/>
    </row>
    <row r="43" spans="2:8" x14ac:dyDescent="0.3">
      <c r="B43" s="52"/>
      <c r="C43" s="50"/>
      <c r="D43" s="53"/>
      <c r="E43" s="53"/>
      <c r="F43" s="51"/>
      <c r="G43" s="51"/>
      <c r="H43" s="51"/>
    </row>
    <row r="44" spans="2:8" x14ac:dyDescent="0.3">
      <c r="B44" s="52"/>
      <c r="C44" s="50"/>
      <c r="D44" s="53"/>
      <c r="E44" s="53"/>
      <c r="F44" s="51"/>
      <c r="G44" s="51"/>
      <c r="H44" s="51"/>
    </row>
    <row r="45" spans="2:8" x14ac:dyDescent="0.3">
      <c r="B45" s="52"/>
      <c r="C45" s="50"/>
      <c r="D45" s="53"/>
      <c r="E45" s="53"/>
      <c r="F45" s="51"/>
      <c r="G45" s="51"/>
      <c r="H45" s="51"/>
    </row>
    <row r="46" spans="2:8" x14ac:dyDescent="0.3">
      <c r="B46" s="52"/>
      <c r="C46" s="50"/>
      <c r="D46" s="53"/>
      <c r="E46" s="53"/>
      <c r="F46" s="51"/>
      <c r="G46" s="51"/>
      <c r="H46" s="51"/>
    </row>
    <row r="47" spans="2:8" x14ac:dyDescent="0.3">
      <c r="B47" s="52"/>
      <c r="C47" s="52"/>
      <c r="D47" s="53"/>
      <c r="E47" s="53"/>
      <c r="F47" s="51"/>
      <c r="G47" s="51"/>
      <c r="H47" s="51"/>
    </row>
    <row r="48" spans="2:8" x14ac:dyDescent="0.3">
      <c r="B48" s="52"/>
      <c r="C48" s="52"/>
      <c r="D48" s="53"/>
      <c r="E48" s="53"/>
      <c r="F48" s="51"/>
      <c r="G48" s="51"/>
      <c r="H48" s="51"/>
    </row>
    <row r="49" spans="2:8" x14ac:dyDescent="0.3">
      <c r="B49" s="52"/>
      <c r="C49" s="52"/>
      <c r="D49" s="53"/>
      <c r="E49" s="53"/>
      <c r="F49" s="51"/>
      <c r="G49" s="51"/>
      <c r="H49" s="51"/>
    </row>
    <row r="50" spans="2:8" x14ac:dyDescent="0.3">
      <c r="B50" s="52"/>
      <c r="C50" s="52"/>
      <c r="D50" s="53"/>
      <c r="E50" s="53"/>
      <c r="F50" s="51"/>
      <c r="G50" s="51"/>
      <c r="H50" s="51"/>
    </row>
    <row r="51" spans="2:8" x14ac:dyDescent="0.3">
      <c r="B51" s="52"/>
      <c r="C51" s="52"/>
      <c r="D51" s="53"/>
      <c r="E51" s="53"/>
      <c r="F51" s="51"/>
      <c r="G51" s="51"/>
      <c r="H51" s="51"/>
    </row>
    <row r="52" spans="2:8" x14ac:dyDescent="0.3">
      <c r="B52" s="52"/>
      <c r="C52" s="52"/>
      <c r="D52" s="53"/>
      <c r="E52" s="53"/>
      <c r="F52" s="51"/>
      <c r="G52" s="51"/>
      <c r="H52" s="51"/>
    </row>
    <row r="53" spans="2:8" x14ac:dyDescent="0.3">
      <c r="B53" s="52"/>
      <c r="C53" s="52"/>
      <c r="D53" s="53"/>
      <c r="E53" s="53"/>
      <c r="F53" s="51"/>
      <c r="G53" s="51"/>
      <c r="H53" s="51"/>
    </row>
    <row r="54" spans="2:8" x14ac:dyDescent="0.3">
      <c r="B54" s="52"/>
      <c r="C54" s="52"/>
      <c r="D54" s="53"/>
      <c r="E54" s="53"/>
      <c r="F54" s="51"/>
      <c r="G54" s="51"/>
      <c r="H54" s="51"/>
    </row>
    <row r="55" spans="2:8" x14ac:dyDescent="0.3">
      <c r="B55" s="52"/>
      <c r="C55" s="52"/>
      <c r="D55" s="53"/>
      <c r="E55" s="53"/>
      <c r="F55" s="51"/>
      <c r="G55" s="51"/>
      <c r="H55" s="51"/>
    </row>
    <row r="56" spans="2:8" x14ac:dyDescent="0.3">
      <c r="B56" s="52"/>
      <c r="C56" s="52"/>
      <c r="D56" s="53"/>
      <c r="E56" s="53"/>
      <c r="F56" s="51"/>
      <c r="G56" s="51"/>
      <c r="H56" s="51"/>
    </row>
    <row r="57" spans="2:8" x14ac:dyDescent="0.3">
      <c r="B57" s="52"/>
      <c r="C57" s="52"/>
      <c r="D57" s="53"/>
      <c r="E57" s="53"/>
      <c r="F57" s="51"/>
      <c r="G57" s="51"/>
      <c r="H57" s="51"/>
    </row>
    <row r="58" spans="2:8" x14ac:dyDescent="0.3">
      <c r="B58" s="52"/>
      <c r="C58" s="52"/>
      <c r="D58" s="53"/>
      <c r="E58" s="53"/>
      <c r="F58" s="51"/>
      <c r="G58" s="51"/>
      <c r="H58" s="51"/>
    </row>
    <row r="59" spans="2:8" x14ac:dyDescent="0.3">
      <c r="B59" s="52"/>
      <c r="C59" s="52"/>
      <c r="D59" s="53"/>
      <c r="E59" s="53"/>
      <c r="F59" s="51"/>
      <c r="G59" s="51"/>
      <c r="H59" s="51"/>
    </row>
    <row r="60" spans="2:8" x14ac:dyDescent="0.3">
      <c r="B60" s="52"/>
      <c r="C60" s="52"/>
      <c r="D60" s="53"/>
      <c r="E60" s="53"/>
      <c r="F60" s="51"/>
      <c r="G60" s="51"/>
      <c r="H60" s="51"/>
    </row>
    <row r="61" spans="2:8" x14ac:dyDescent="0.3">
      <c r="B61" s="52"/>
      <c r="C61" s="52"/>
      <c r="D61" s="53"/>
      <c r="E61" s="53"/>
      <c r="F61" s="51"/>
      <c r="G61" s="51"/>
      <c r="H61" s="5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14BB-6CF7-4E3B-B67D-E4992835E402}">
  <sheetPr>
    <tabColor rgb="FFFF0000"/>
  </sheetPr>
  <dimension ref="B3:L37"/>
  <sheetViews>
    <sheetView workbookViewId="0">
      <selection activeCell="H43" sqref="H43"/>
    </sheetView>
  </sheetViews>
  <sheetFormatPr defaultRowHeight="14.4" x14ac:dyDescent="0.3"/>
  <cols>
    <col min="2" max="2" width="20.109375" customWidth="1"/>
    <col min="3" max="6" width="11.33203125" customWidth="1"/>
    <col min="8" max="8" width="17.77734375" bestFit="1" customWidth="1"/>
    <col min="9" max="12" width="11" customWidth="1"/>
  </cols>
  <sheetData>
    <row r="3" spans="2:12" x14ac:dyDescent="0.3">
      <c r="B3" s="62">
        <v>2020</v>
      </c>
      <c r="C3" s="14"/>
      <c r="D3" s="2"/>
      <c r="E3" s="2"/>
      <c r="H3" s="62">
        <v>2023</v>
      </c>
      <c r="I3" s="14"/>
      <c r="J3" s="2"/>
      <c r="K3" s="2"/>
    </row>
    <row r="4" spans="2:12" x14ac:dyDescent="0.3">
      <c r="B4" s="26" t="s">
        <v>2</v>
      </c>
      <c r="C4" s="41" t="s">
        <v>174</v>
      </c>
      <c r="D4" s="41" t="s">
        <v>175</v>
      </c>
      <c r="E4" s="41" t="s">
        <v>176</v>
      </c>
      <c r="F4" s="41" t="s">
        <v>177</v>
      </c>
      <c r="H4" s="26" t="s">
        <v>2</v>
      </c>
      <c r="I4" s="41" t="s">
        <v>174</v>
      </c>
      <c r="J4" s="41" t="s">
        <v>175</v>
      </c>
      <c r="K4" s="41" t="s">
        <v>176</v>
      </c>
      <c r="L4" s="41" t="s">
        <v>177</v>
      </c>
    </row>
    <row r="5" spans="2:12" x14ac:dyDescent="0.3">
      <c r="B5" s="45" t="s">
        <v>3</v>
      </c>
      <c r="C5" s="82">
        <f>'Loss Rasio Per COB'!C4</f>
        <v>0.51</v>
      </c>
      <c r="D5" s="63">
        <f>PAD!C4*C5</f>
        <v>3.8249999999999999E-2</v>
      </c>
      <c r="E5" s="83">
        <f>'Expense Rasio'!D$15</f>
        <v>0.22120034161817898</v>
      </c>
      <c r="F5" s="79">
        <f>SUM(C5:E5)</f>
        <v>0.76945034161817905</v>
      </c>
      <c r="H5" s="45" t="s">
        <v>3</v>
      </c>
      <c r="I5" s="42">
        <f>'Loss Rasio Per COB'!F4</f>
        <v>0.76229246608626267</v>
      </c>
      <c r="J5" s="69">
        <f>PAD!F4*SUMMARY!I5</f>
        <v>5.7171934956469696E-2</v>
      </c>
      <c r="K5" s="66">
        <f>'Expense Rasio'!G$15</f>
        <v>0.14267631484560075</v>
      </c>
      <c r="L5" s="42">
        <f>SUM(I5:K5)</f>
        <v>0.96214071588833305</v>
      </c>
    </row>
    <row r="6" spans="2:12" x14ac:dyDescent="0.3">
      <c r="B6" s="45" t="s">
        <v>4</v>
      </c>
      <c r="C6" s="84">
        <f>'Loss Rasio Per COB'!C5</f>
        <v>0.12</v>
      </c>
      <c r="D6" s="64">
        <f>PAD!C5*C6</f>
        <v>8.9999999999999993E-3</v>
      </c>
      <c r="E6" s="85">
        <f>'Expense Rasio'!D$15</f>
        <v>0.22120034161817898</v>
      </c>
      <c r="F6" s="80">
        <f t="shared" ref="F6:F13" si="0">SUM(C6:E6)</f>
        <v>0.35020034161817898</v>
      </c>
      <c r="H6" s="45" t="s">
        <v>4</v>
      </c>
      <c r="I6" s="43">
        <f>'Loss Rasio Per COB'!F5</f>
        <v>0.22852501057298888</v>
      </c>
      <c r="J6" s="70">
        <f>PAD!F5*SUMMARY!I6</f>
        <v>1.7139375792974164E-2</v>
      </c>
      <c r="K6" s="67">
        <f>'Expense Rasio'!G$15</f>
        <v>0.14267631484560075</v>
      </c>
      <c r="L6" s="43">
        <f t="shared" ref="L6:L13" si="1">SUM(I6:K6)</f>
        <v>0.38834070121156383</v>
      </c>
    </row>
    <row r="7" spans="2:12" x14ac:dyDescent="0.3">
      <c r="B7" s="45" t="s">
        <v>5</v>
      </c>
      <c r="C7" s="84">
        <f>'Loss Rasio Per COB'!C6</f>
        <v>0.31</v>
      </c>
      <c r="D7" s="64">
        <f>PAD!C6*C7</f>
        <v>2.325E-2</v>
      </c>
      <c r="E7" s="85">
        <f>'Expense Rasio'!D$15</f>
        <v>0.22120034161817898</v>
      </c>
      <c r="F7" s="80">
        <f t="shared" si="0"/>
        <v>0.55445034161817897</v>
      </c>
      <c r="H7" s="45" t="s">
        <v>5</v>
      </c>
      <c r="I7" s="43">
        <f>'Loss Rasio Per COB'!F6</f>
        <v>5.0898566611626318E-2</v>
      </c>
      <c r="J7" s="70">
        <f>PAD!F6*SUMMARY!I7</f>
        <v>3.8173924958719739E-3</v>
      </c>
      <c r="K7" s="67">
        <f>'Expense Rasio'!G$15</f>
        <v>0.14267631484560075</v>
      </c>
      <c r="L7" s="43">
        <f t="shared" si="1"/>
        <v>0.19739227395309905</v>
      </c>
    </row>
    <row r="8" spans="2:12" x14ac:dyDescent="0.3">
      <c r="B8" s="45" t="s">
        <v>6</v>
      </c>
      <c r="C8" s="84">
        <f>'Loss Rasio Per COB'!C7</f>
        <v>0.5</v>
      </c>
      <c r="D8" s="64">
        <f>PAD!C7*C8</f>
        <v>3.7499999999999999E-2</v>
      </c>
      <c r="E8" s="85">
        <f>'Expense Rasio'!D$15</f>
        <v>0.22120034161817898</v>
      </c>
      <c r="F8" s="80">
        <f t="shared" si="0"/>
        <v>0.75870034161817901</v>
      </c>
      <c r="H8" s="45" t="s">
        <v>6</v>
      </c>
      <c r="I8" s="43">
        <f>'Loss Rasio Per COB'!F7</f>
        <v>0.52412826779474508</v>
      </c>
      <c r="J8" s="70">
        <f>PAD!F7*SUMMARY!I8</f>
        <v>3.9309620084605881E-2</v>
      </c>
      <c r="K8" s="67">
        <f>'Expense Rasio'!G$15</f>
        <v>0.14267631484560075</v>
      </c>
      <c r="L8" s="43">
        <f t="shared" si="1"/>
        <v>0.70611420272495173</v>
      </c>
    </row>
    <row r="9" spans="2:12" x14ac:dyDescent="0.3">
      <c r="B9" s="45" t="s">
        <v>8</v>
      </c>
      <c r="C9" s="84">
        <f>'Loss Rasio Per COB'!C8</f>
        <v>0.68</v>
      </c>
      <c r="D9" s="64">
        <f>PAD!C8*C9</f>
        <v>5.1000000000000004E-2</v>
      </c>
      <c r="E9" s="85">
        <f>'Expense Rasio'!D$15</f>
        <v>0.22120034161817898</v>
      </c>
      <c r="F9" s="80">
        <f t="shared" si="0"/>
        <v>0.95220034161817901</v>
      </c>
      <c r="H9" s="45" t="s">
        <v>8</v>
      </c>
      <c r="I9" s="43">
        <f>'Loss Rasio Per COB'!F8</f>
        <v>7.8311102917674846E-2</v>
      </c>
      <c r="J9" s="70">
        <f>PAD!F8*SUMMARY!I9</f>
        <v>5.873332718825613E-3</v>
      </c>
      <c r="K9" s="67">
        <f>'Expense Rasio'!G$15</f>
        <v>0.14267631484560075</v>
      </c>
      <c r="L9" s="43">
        <f t="shared" si="1"/>
        <v>0.22686075048210122</v>
      </c>
    </row>
    <row r="10" spans="2:12" x14ac:dyDescent="0.3">
      <c r="B10" s="45" t="s">
        <v>7</v>
      </c>
      <c r="C10" s="84">
        <f>'Loss Rasio Per COB'!C9</f>
        <v>0.75</v>
      </c>
      <c r="D10" s="64">
        <f>PAD!C9*C10</f>
        <v>5.6249999999999994E-2</v>
      </c>
      <c r="E10" s="85">
        <f>'Expense Rasio'!D$15</f>
        <v>0.22120034161817898</v>
      </c>
      <c r="F10" s="80">
        <f t="shared" si="0"/>
        <v>1.0274503416181791</v>
      </c>
      <c r="H10" s="45" t="s">
        <v>7</v>
      </c>
      <c r="I10" s="43">
        <f>'Loss Rasio Per COB'!F9</f>
        <v>0.52915439598518432</v>
      </c>
      <c r="J10" s="70">
        <f>PAD!F9*SUMMARY!I10</f>
        <v>3.9686579698888821E-2</v>
      </c>
      <c r="K10" s="67">
        <f>'Expense Rasio'!G$15</f>
        <v>0.14267631484560075</v>
      </c>
      <c r="L10" s="43">
        <f t="shared" si="1"/>
        <v>0.71151729052967383</v>
      </c>
    </row>
    <row r="11" spans="2:12" x14ac:dyDescent="0.3">
      <c r="B11" s="45" t="s">
        <v>9</v>
      </c>
      <c r="C11" s="84">
        <f>'Loss Rasio Per COB'!C10</f>
        <v>0.68</v>
      </c>
      <c r="D11" s="64">
        <f>PAD!C10*C11</f>
        <v>5.1000000000000004E-2</v>
      </c>
      <c r="E11" s="85">
        <f>'Expense Rasio'!D$15</f>
        <v>0.22120034161817898</v>
      </c>
      <c r="F11" s="80">
        <f t="shared" si="0"/>
        <v>0.95220034161817901</v>
      </c>
      <c r="H11" s="45" t="s">
        <v>9</v>
      </c>
      <c r="I11" s="43">
        <f>'Loss Rasio Per COB'!F10</f>
        <v>8.9811745209906299E-2</v>
      </c>
      <c r="J11" s="70">
        <f>PAD!F10*SUMMARY!I11</f>
        <v>6.7358808907429721E-3</v>
      </c>
      <c r="K11" s="67">
        <f>'Expense Rasio'!G$15</f>
        <v>0.14267631484560075</v>
      </c>
      <c r="L11" s="43">
        <f t="shared" si="1"/>
        <v>0.23922394094625002</v>
      </c>
    </row>
    <row r="12" spans="2:12" x14ac:dyDescent="0.3">
      <c r="B12" s="45" t="s">
        <v>178</v>
      </c>
      <c r="C12" s="84"/>
      <c r="D12" s="64"/>
      <c r="E12" s="85"/>
      <c r="F12" s="80">
        <f t="shared" si="0"/>
        <v>0</v>
      </c>
      <c r="H12" s="45" t="s">
        <v>178</v>
      </c>
      <c r="I12" s="43">
        <f>'Loss Rasio Per COB'!F11</f>
        <v>0.90140809379779574</v>
      </c>
      <c r="J12" s="70"/>
      <c r="K12" s="67"/>
      <c r="L12" s="43">
        <f t="shared" si="1"/>
        <v>0.90140809379779574</v>
      </c>
    </row>
    <row r="13" spans="2:12" x14ac:dyDescent="0.3">
      <c r="B13" s="46" t="s">
        <v>11</v>
      </c>
      <c r="C13" s="86">
        <f>'Loss Rasio Per COB'!C12</f>
        <v>0.95</v>
      </c>
      <c r="D13" s="65">
        <f>PAD!C12*C13</f>
        <v>7.1249999999999994E-2</v>
      </c>
      <c r="E13" s="87">
        <f>'Expense Rasio'!D$15</f>
        <v>0.22120034161817898</v>
      </c>
      <c r="F13" s="81">
        <f t="shared" si="0"/>
        <v>1.2424503416181789</v>
      </c>
      <c r="H13" s="46" t="s">
        <v>11</v>
      </c>
      <c r="I13" s="44">
        <f>'Loss Rasio Per COB'!F12</f>
        <v>1.0364013545854429</v>
      </c>
      <c r="J13" s="71">
        <f>PAD!F12*SUMMARY!I13</f>
        <v>7.773010159390821E-2</v>
      </c>
      <c r="K13" s="68">
        <f>'Expense Rasio'!G$15</f>
        <v>0.14267631484560075</v>
      </c>
      <c r="L13" s="44">
        <f t="shared" si="1"/>
        <v>1.2568077710249519</v>
      </c>
    </row>
    <row r="15" spans="2:12" x14ac:dyDescent="0.3">
      <c r="B15" s="62">
        <v>2021</v>
      </c>
      <c r="H15" s="62">
        <v>2024</v>
      </c>
    </row>
    <row r="16" spans="2:12" x14ac:dyDescent="0.3">
      <c r="B16" s="26" t="s">
        <v>2</v>
      </c>
      <c r="C16" s="41" t="s">
        <v>174</v>
      </c>
      <c r="D16" s="41" t="s">
        <v>175</v>
      </c>
      <c r="E16" s="41" t="s">
        <v>176</v>
      </c>
      <c r="F16" s="41" t="s">
        <v>177</v>
      </c>
      <c r="H16" s="26" t="s">
        <v>2</v>
      </c>
      <c r="I16" s="41" t="s">
        <v>174</v>
      </c>
      <c r="J16" s="41" t="s">
        <v>175</v>
      </c>
      <c r="K16" s="41" t="s">
        <v>176</v>
      </c>
      <c r="L16" s="41" t="s">
        <v>177</v>
      </c>
    </row>
    <row r="17" spans="2:12" x14ac:dyDescent="0.3">
      <c r="B17" s="45" t="s">
        <v>3</v>
      </c>
      <c r="C17" s="82">
        <f>'Loss Rasio Per COB'!D4</f>
        <v>0.48</v>
      </c>
      <c r="D17" s="63">
        <f>PAD!D4*C17</f>
        <v>3.5999999999999997E-2</v>
      </c>
      <c r="E17" s="83">
        <f>'Expense Rasio'!E$15</f>
        <v>0.2415857295558545</v>
      </c>
      <c r="F17" s="79">
        <f>SUM(C17:E17)</f>
        <v>0.75758572955585457</v>
      </c>
      <c r="H17" s="45" t="s">
        <v>3</v>
      </c>
      <c r="I17" s="42">
        <v>1.2263340351599692</v>
      </c>
      <c r="J17" s="72">
        <f>PAD!G4*I17</f>
        <v>9.1975052636997692E-2</v>
      </c>
      <c r="K17" s="66">
        <f>'Expense Rasio'!H$15</f>
        <v>0.11957283187352451</v>
      </c>
      <c r="L17" s="42">
        <f>SUM(I17:K17)</f>
        <v>1.4378819196704915</v>
      </c>
    </row>
    <row r="18" spans="2:12" x14ac:dyDescent="0.3">
      <c r="B18" s="45" t="s">
        <v>4</v>
      </c>
      <c r="C18" s="84">
        <f>'Loss Rasio Per COB'!D5</f>
        <v>7.0000000000000007E-2</v>
      </c>
      <c r="D18" s="64">
        <f>PAD!D5*C18</f>
        <v>5.2500000000000003E-3</v>
      </c>
      <c r="E18" s="85">
        <f>'Expense Rasio'!E$15</f>
        <v>0.2415857295558545</v>
      </c>
      <c r="F18" s="80">
        <f t="shared" ref="F18:F25" si="2">SUM(C18:E18)</f>
        <v>0.31683572955585448</v>
      </c>
      <c r="H18" s="45" t="s">
        <v>4</v>
      </c>
      <c r="I18" s="43">
        <v>0.25083650256241036</v>
      </c>
      <c r="J18" s="73">
        <f>PAD!G5*I18</f>
        <v>1.8812737692180777E-2</v>
      </c>
      <c r="K18" s="67">
        <f>'Expense Rasio'!H$15</f>
        <v>0.11957283187352451</v>
      </c>
      <c r="L18" s="43">
        <f t="shared" ref="L18:L25" si="3">SUM(I18:K18)</f>
        <v>0.38922207212811566</v>
      </c>
    </row>
    <row r="19" spans="2:12" x14ac:dyDescent="0.3">
      <c r="B19" s="45" t="s">
        <v>5</v>
      </c>
      <c r="C19" s="84">
        <f>'Loss Rasio Per COB'!D6</f>
        <v>0.28999999999999998</v>
      </c>
      <c r="D19" s="64">
        <f>PAD!D6*C19</f>
        <v>2.1749999999999999E-2</v>
      </c>
      <c r="E19" s="85">
        <f>'Expense Rasio'!E$15</f>
        <v>0.2415857295558545</v>
      </c>
      <c r="F19" s="80">
        <f t="shared" si="2"/>
        <v>0.55333572955585453</v>
      </c>
      <c r="H19" s="45" t="s">
        <v>5</v>
      </c>
      <c r="I19" s="43">
        <v>0.11952308069911356</v>
      </c>
      <c r="J19" s="73">
        <f>PAD!G6*I19</f>
        <v>8.9642310524335172E-3</v>
      </c>
      <c r="K19" s="67">
        <f>'Expense Rasio'!H$15</f>
        <v>0.11957283187352451</v>
      </c>
      <c r="L19" s="43">
        <f t="shared" si="3"/>
        <v>0.24806014362507156</v>
      </c>
    </row>
    <row r="20" spans="2:12" x14ac:dyDescent="0.3">
      <c r="B20" s="45" t="s">
        <v>6</v>
      </c>
      <c r="C20" s="84">
        <f>'Loss Rasio Per COB'!D7</f>
        <v>0.45</v>
      </c>
      <c r="D20" s="64">
        <f>PAD!D7*C20</f>
        <v>3.3750000000000002E-2</v>
      </c>
      <c r="E20" s="85">
        <f>'Expense Rasio'!E$15</f>
        <v>0.2415857295558545</v>
      </c>
      <c r="F20" s="80">
        <f t="shared" si="2"/>
        <v>0.72533572955585446</v>
      </c>
      <c r="H20" s="45" t="s">
        <v>6</v>
      </c>
      <c r="I20" s="43">
        <v>0.59947946252809736</v>
      </c>
      <c r="J20" s="73">
        <f>PAD!G7*I20</f>
        <v>4.4960959689607304E-2</v>
      </c>
      <c r="K20" s="67">
        <f>'Expense Rasio'!H$15</f>
        <v>0.11957283187352451</v>
      </c>
      <c r="L20" s="43">
        <f t="shared" si="3"/>
        <v>0.76401325409122922</v>
      </c>
    </row>
    <row r="21" spans="2:12" x14ac:dyDescent="0.3">
      <c r="B21" s="45" t="s">
        <v>8</v>
      </c>
      <c r="C21" s="84">
        <f>'Loss Rasio Per COB'!D8</f>
        <v>0.67</v>
      </c>
      <c r="D21" s="64">
        <f>PAD!D8*C21</f>
        <v>5.0250000000000003E-2</v>
      </c>
      <c r="E21" s="85">
        <f>'Expense Rasio'!E$15</f>
        <v>0.2415857295558545</v>
      </c>
      <c r="F21" s="80">
        <f t="shared" si="2"/>
        <v>0.96183572955585461</v>
      </c>
      <c r="H21" s="45" t="s">
        <v>8</v>
      </c>
      <c r="I21" s="43">
        <v>7.5049446897666683E-2</v>
      </c>
      <c r="J21" s="73">
        <f>PAD!G8*I21</f>
        <v>5.628708517325001E-3</v>
      </c>
      <c r="K21" s="67">
        <f>'Expense Rasio'!H$15</f>
        <v>0.11957283187352451</v>
      </c>
      <c r="L21" s="43">
        <f t="shared" si="3"/>
        <v>0.2002509872885162</v>
      </c>
    </row>
    <row r="22" spans="2:12" x14ac:dyDescent="0.3">
      <c r="B22" s="45" t="s">
        <v>7</v>
      </c>
      <c r="C22" s="84">
        <f>'Loss Rasio Per COB'!D9</f>
        <v>0.56000000000000005</v>
      </c>
      <c r="D22" s="64">
        <f>PAD!D9*C22</f>
        <v>4.2000000000000003E-2</v>
      </c>
      <c r="E22" s="85">
        <f>'Expense Rasio'!E$15</f>
        <v>0.2415857295558545</v>
      </c>
      <c r="F22" s="80">
        <f t="shared" si="2"/>
        <v>0.84358572955585465</v>
      </c>
      <c r="H22" s="45" t="s">
        <v>7</v>
      </c>
      <c r="I22" s="43">
        <v>0.26225301159411413</v>
      </c>
      <c r="J22" s="73">
        <f>PAD!G9*I22</f>
        <v>1.9668975869558559E-2</v>
      </c>
      <c r="K22" s="67">
        <f>'Expense Rasio'!H$15</f>
        <v>0.11957283187352451</v>
      </c>
      <c r="L22" s="43">
        <f t="shared" si="3"/>
        <v>0.40149481933719722</v>
      </c>
    </row>
    <row r="23" spans="2:12" x14ac:dyDescent="0.3">
      <c r="B23" s="45" t="s">
        <v>9</v>
      </c>
      <c r="C23" s="84">
        <f>'Loss Rasio Per COB'!D10</f>
        <v>0.67</v>
      </c>
      <c r="D23" s="64">
        <f>PAD!D10*C23</f>
        <v>5.0250000000000003E-2</v>
      </c>
      <c r="E23" s="85">
        <f>'Expense Rasio'!E$15</f>
        <v>0.2415857295558545</v>
      </c>
      <c r="F23" s="80">
        <f t="shared" si="2"/>
        <v>0.96183572955585461</v>
      </c>
      <c r="H23" s="45" t="s">
        <v>9</v>
      </c>
      <c r="I23" s="43">
        <v>1.0417618433950555</v>
      </c>
      <c r="J23" s="73">
        <f>PAD!G10*I23</f>
        <v>7.8132138254629155E-2</v>
      </c>
      <c r="K23" s="67">
        <f>'Expense Rasio'!H$15</f>
        <v>0.11957283187352451</v>
      </c>
      <c r="L23" s="43">
        <f t="shared" si="3"/>
        <v>1.2394668135232092</v>
      </c>
    </row>
    <row r="24" spans="2:12" x14ac:dyDescent="0.3">
      <c r="B24" s="45" t="s">
        <v>178</v>
      </c>
      <c r="C24" s="84"/>
      <c r="D24" s="64"/>
      <c r="E24" s="85"/>
      <c r="F24" s="80">
        <f t="shared" si="2"/>
        <v>0</v>
      </c>
      <c r="H24" s="45" t="s">
        <v>178</v>
      </c>
      <c r="I24" s="43">
        <v>0.88546239167246643</v>
      </c>
      <c r="J24" s="73"/>
      <c r="K24" s="67"/>
      <c r="L24" s="43">
        <f t="shared" si="3"/>
        <v>0.88546239167246643</v>
      </c>
    </row>
    <row r="25" spans="2:12" x14ac:dyDescent="0.3">
      <c r="B25" s="46" t="s">
        <v>11</v>
      </c>
      <c r="C25" s="86">
        <f>'Loss Rasio Per COB'!D12</f>
        <v>0.84</v>
      </c>
      <c r="D25" s="65">
        <f>PAD!D12*C25</f>
        <v>6.3E-2</v>
      </c>
      <c r="E25" s="87">
        <f>'Expense Rasio'!E$15</f>
        <v>0.2415857295558545</v>
      </c>
      <c r="F25" s="81">
        <f t="shared" si="2"/>
        <v>1.1445857295558546</v>
      </c>
      <c r="H25" s="46" t="s">
        <v>11</v>
      </c>
      <c r="I25" s="44">
        <v>0.6271631277257127</v>
      </c>
      <c r="J25" s="74">
        <f>PAD!G12*I25</f>
        <v>4.7037234579428454E-2</v>
      </c>
      <c r="K25" s="68">
        <f>'Expense Rasio'!H$15</f>
        <v>0.11957283187352451</v>
      </c>
      <c r="L25" s="44">
        <f t="shared" si="3"/>
        <v>0.79377319417866565</v>
      </c>
    </row>
    <row r="27" spans="2:12" x14ac:dyDescent="0.3">
      <c r="B27" s="62">
        <v>2022</v>
      </c>
      <c r="H27" s="62">
        <v>2025</v>
      </c>
    </row>
    <row r="28" spans="2:12" x14ac:dyDescent="0.3">
      <c r="B28" s="26" t="s">
        <v>2</v>
      </c>
      <c r="C28" s="41" t="s">
        <v>174</v>
      </c>
      <c r="D28" s="41" t="s">
        <v>175</v>
      </c>
      <c r="E28" s="41" t="s">
        <v>176</v>
      </c>
      <c r="F28" s="41" t="s">
        <v>177</v>
      </c>
      <c r="H28" s="26" t="s">
        <v>2</v>
      </c>
      <c r="I28" s="41" t="s">
        <v>174</v>
      </c>
      <c r="J28" s="41" t="s">
        <v>175</v>
      </c>
      <c r="K28" s="41" t="s">
        <v>176</v>
      </c>
      <c r="L28" s="41" t="s">
        <v>177</v>
      </c>
    </row>
    <row r="29" spans="2:12" x14ac:dyDescent="0.3">
      <c r="B29" s="45" t="s">
        <v>3</v>
      </c>
      <c r="C29" s="82">
        <f>'Loss Rasio Per COB'!E4</f>
        <v>0.43099999999999999</v>
      </c>
      <c r="D29" s="63">
        <f>PAD!E4*C29</f>
        <v>3.2325E-2</v>
      </c>
      <c r="E29" s="83">
        <f>'Expense Rasio'!F$15</f>
        <v>0.18585431811265277</v>
      </c>
      <c r="F29" s="79">
        <f>SUM(C29:E29)</f>
        <v>0.64917931811265273</v>
      </c>
      <c r="H29" s="45" t="s">
        <v>3</v>
      </c>
      <c r="I29" s="42">
        <v>0.25460701254818768</v>
      </c>
      <c r="J29" s="63">
        <f>PAD!H4*I29</f>
        <v>4.6676513958757229E-2</v>
      </c>
      <c r="K29" s="66">
        <f>'Expense Rasio'!I$15</f>
        <v>0.26006328278606389</v>
      </c>
      <c r="L29" s="42">
        <f>SUM(I29:K29)</f>
        <v>0.56134680929300873</v>
      </c>
    </row>
    <row r="30" spans="2:12" x14ac:dyDescent="0.3">
      <c r="B30" s="45" t="s">
        <v>4</v>
      </c>
      <c r="C30" s="84">
        <f>'Loss Rasio Per COB'!E5</f>
        <v>4.5999999999999999E-2</v>
      </c>
      <c r="D30" s="64">
        <f>PAD!E5*C30</f>
        <v>3.4499999999999999E-3</v>
      </c>
      <c r="E30" s="85">
        <f>'Expense Rasio'!F$15</f>
        <v>0.18585431811265277</v>
      </c>
      <c r="F30" s="80">
        <f t="shared" ref="F30:F37" si="4">SUM(C30:E30)</f>
        <v>0.23530431811265276</v>
      </c>
      <c r="H30" s="45" t="s">
        <v>4</v>
      </c>
      <c r="I30" s="43">
        <v>0.1525408046519047</v>
      </c>
      <c r="J30" s="64">
        <f>PAD!H5*I30</f>
        <v>2.8243240501976161E-2</v>
      </c>
      <c r="K30" s="67">
        <f>'Expense Rasio'!I$15</f>
        <v>0.26006328278606389</v>
      </c>
      <c r="L30" s="43">
        <f t="shared" ref="L30:L37" si="5">SUM(I30:K30)</f>
        <v>0.44084732793994474</v>
      </c>
    </row>
    <row r="31" spans="2:12" x14ac:dyDescent="0.3">
      <c r="B31" s="45" t="s">
        <v>5</v>
      </c>
      <c r="C31" s="84">
        <f>'Loss Rasio Per COB'!E6</f>
        <v>4.5999999999999999E-2</v>
      </c>
      <c r="D31" s="64">
        <f>PAD!E6*C31</f>
        <v>3.4499999999999999E-3</v>
      </c>
      <c r="E31" s="85">
        <f>'Expense Rasio'!F$15</f>
        <v>0.18585431811265277</v>
      </c>
      <c r="F31" s="80">
        <f t="shared" si="4"/>
        <v>0.23530431811265276</v>
      </c>
      <c r="H31" s="45" t="s">
        <v>5</v>
      </c>
      <c r="I31" s="43">
        <v>1.7122117452214487E-2</v>
      </c>
      <c r="J31" s="64">
        <f>PAD!H6*I31</f>
        <v>2.2759477416439537E-3</v>
      </c>
      <c r="K31" s="67">
        <f>'Expense Rasio'!I$15</f>
        <v>0.26006328278606389</v>
      </c>
      <c r="L31" s="43">
        <f t="shared" si="5"/>
        <v>0.27946134797992234</v>
      </c>
    </row>
    <row r="32" spans="2:12" x14ac:dyDescent="0.3">
      <c r="B32" s="45" t="s">
        <v>6</v>
      </c>
      <c r="C32" s="84">
        <f>'Loss Rasio Per COB'!E7</f>
        <v>0.43099999999999999</v>
      </c>
      <c r="D32" s="64">
        <f>PAD!E7*C32</f>
        <v>3.2325E-2</v>
      </c>
      <c r="E32" s="85">
        <f>'Expense Rasio'!F$15</f>
        <v>0.18585431811265277</v>
      </c>
      <c r="F32" s="80">
        <f t="shared" si="4"/>
        <v>0.64917931811265273</v>
      </c>
      <c r="H32" s="45" t="s">
        <v>6</v>
      </c>
      <c r="I32" s="43">
        <v>0.50675333114212018</v>
      </c>
      <c r="J32" s="64">
        <f>PAD!H7*I32</f>
        <v>3.5567120627382764E-2</v>
      </c>
      <c r="K32" s="67">
        <f>'Expense Rasio'!I$15</f>
        <v>0.26006328278606389</v>
      </c>
      <c r="L32" s="43">
        <f t="shared" si="5"/>
        <v>0.80238373455556689</v>
      </c>
    </row>
    <row r="33" spans="2:12" x14ac:dyDescent="0.3">
      <c r="B33" s="45" t="s">
        <v>8</v>
      </c>
      <c r="C33" s="84">
        <f>'Loss Rasio Per COB'!E8</f>
        <v>0.74099999999999999</v>
      </c>
      <c r="D33" s="64">
        <f>PAD!E8*C33</f>
        <v>5.5574999999999999E-2</v>
      </c>
      <c r="E33" s="85">
        <f>'Expense Rasio'!F$15</f>
        <v>0.18585431811265277</v>
      </c>
      <c r="F33" s="80">
        <f t="shared" si="4"/>
        <v>0.98242931811265277</v>
      </c>
      <c r="H33" s="45" t="s">
        <v>8</v>
      </c>
      <c r="I33" s="43">
        <v>5.47125090297595E-2</v>
      </c>
      <c r="J33" s="64">
        <f>PAD!H8*I33</f>
        <v>7.2726292010016798E-3</v>
      </c>
      <c r="K33" s="67">
        <f>'Expense Rasio'!I$15</f>
        <v>0.26006328278606389</v>
      </c>
      <c r="L33" s="43">
        <f t="shared" si="5"/>
        <v>0.32204842101682507</v>
      </c>
    </row>
    <row r="34" spans="2:12" x14ac:dyDescent="0.3">
      <c r="B34" s="45" t="s">
        <v>7</v>
      </c>
      <c r="C34" s="84">
        <f>'Loss Rasio Per COB'!E9</f>
        <v>0.23400000000000001</v>
      </c>
      <c r="D34" s="64">
        <f>PAD!E9*C34</f>
        <v>1.755E-2</v>
      </c>
      <c r="E34" s="85">
        <f>'Expense Rasio'!F$15</f>
        <v>0.18585431811265277</v>
      </c>
      <c r="F34" s="80">
        <f t="shared" si="4"/>
        <v>0.43740431811265279</v>
      </c>
      <c r="H34" s="45" t="s">
        <v>7</v>
      </c>
      <c r="I34" s="43">
        <v>0.21827839134016153</v>
      </c>
      <c r="J34" s="64">
        <f>PAD!H9*I34</f>
        <v>2.9014531246312848E-2</v>
      </c>
      <c r="K34" s="67">
        <f>'Expense Rasio'!I$15</f>
        <v>0.26006328278606389</v>
      </c>
      <c r="L34" s="43">
        <f t="shared" si="5"/>
        <v>0.50735620537253823</v>
      </c>
    </row>
    <row r="35" spans="2:12" x14ac:dyDescent="0.3">
      <c r="B35" s="45" t="s">
        <v>9</v>
      </c>
      <c r="C35" s="84">
        <f>'Loss Rasio Per COB'!E10</f>
        <v>0.74099999999999999</v>
      </c>
      <c r="D35" s="64">
        <f>PAD!E10*C35</f>
        <v>5.5574999999999999E-2</v>
      </c>
      <c r="E35" s="85">
        <f>'Expense Rasio'!F$15</f>
        <v>0.18585431811265277</v>
      </c>
      <c r="F35" s="80">
        <f t="shared" si="4"/>
        <v>0.98242931811265277</v>
      </c>
      <c r="H35" s="45" t="s">
        <v>9</v>
      </c>
      <c r="I35" s="43">
        <v>3.1873400234385584E-2</v>
      </c>
      <c r="J35" s="64">
        <f>PAD!H10*I35</f>
        <v>4.236753630759699E-3</v>
      </c>
      <c r="K35" s="67">
        <f>'Expense Rasio'!I$15</f>
        <v>0.26006328278606389</v>
      </c>
      <c r="L35" s="43">
        <f t="shared" si="5"/>
        <v>0.29617343665120915</v>
      </c>
    </row>
    <row r="36" spans="2:12" x14ac:dyDescent="0.3">
      <c r="B36" s="45" t="s">
        <v>178</v>
      </c>
      <c r="C36" s="84"/>
      <c r="D36" s="64"/>
      <c r="E36" s="85"/>
      <c r="F36" s="80">
        <f t="shared" si="4"/>
        <v>0</v>
      </c>
      <c r="H36" s="45" t="s">
        <v>178</v>
      </c>
      <c r="I36" s="43">
        <v>0.56927249111027589</v>
      </c>
      <c r="J36" s="64"/>
      <c r="K36" s="67"/>
      <c r="L36" s="43">
        <f t="shared" si="5"/>
        <v>0.56927249111027589</v>
      </c>
    </row>
    <row r="37" spans="2:12" x14ac:dyDescent="0.3">
      <c r="B37" s="46" t="s">
        <v>11</v>
      </c>
      <c r="C37" s="86">
        <f>'Loss Rasio Per COB'!E12</f>
        <v>0.66800000000000004</v>
      </c>
      <c r="D37" s="65">
        <f>PAD!E12*C37</f>
        <v>5.0099999999999999E-2</v>
      </c>
      <c r="E37" s="87">
        <f>'Expense Rasio'!F$15</f>
        <v>0.18585431811265277</v>
      </c>
      <c r="F37" s="81">
        <f t="shared" si="4"/>
        <v>0.90395431811265281</v>
      </c>
      <c r="H37" s="46" t="s">
        <v>11</v>
      </c>
      <c r="I37" s="44">
        <v>0.40093522317496522</v>
      </c>
      <c r="J37" s="65">
        <f>PAD!H12*I37</f>
        <v>6.1921246838286537E-2</v>
      </c>
      <c r="K37" s="68">
        <f>'Expense Rasio'!I$15</f>
        <v>0.26006328278606389</v>
      </c>
      <c r="L37" s="44">
        <f t="shared" si="5"/>
        <v>0.72291975279931564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Loss Rasio Per Produk</vt:lpstr>
      <vt:lpstr>Loss Rasio Per COB</vt:lpstr>
      <vt:lpstr>PAD</vt:lpstr>
      <vt:lpstr>ICHE</vt:lpstr>
      <vt:lpstr>Bunga Diskonto</vt:lpstr>
      <vt:lpstr>Inflasi</vt:lpstr>
      <vt:lpstr>Lapse Rasio</vt:lpstr>
      <vt:lpstr>Expense Rasio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Riana Prahati</dc:creator>
  <cp:lastModifiedBy>Andi Yehuda</cp:lastModifiedBy>
  <dcterms:created xsi:type="dcterms:W3CDTF">2026-08-13T02:33:56Z</dcterms:created>
  <dcterms:modified xsi:type="dcterms:W3CDTF">2026-09-08T03:17:12Z</dcterms:modified>
</cp:coreProperties>
</file>